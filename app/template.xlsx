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suística" sheetId="1" state="visible" r:id="rId1"/>
    <sheet name="Tabela Atividade" sheetId="2" state="visible" r:id="rId2"/>
    <sheet name="Tabela Relatório" sheetId="3" state="visible" r:id="rId3"/>
    <sheet name="Listas" sheetId="4" state="visible" r:id="rId4"/>
    <sheet name="Via Aérea" sheetId="5" state="visible" r:id="rId5"/>
    <sheet name="Anestesia Regional" sheetId="6" state="visible" r:id="rId6"/>
    <sheet name="Acessos Vasculares" sheetId="7" state="visible" r:id="rId7"/>
    <sheet name="Monitorização Adicional" sheetId="8" state="visible" r:id="rId8"/>
    <sheet name="Casos Complexos" sheetId="9" state="visible" r:id="rId9"/>
    <sheet name="Notas" sheetId="10" state="visible" r:id="rId10"/>
  </sheets>
  <definedNames>
    <definedName name="_xlnm._FilterDatabase" localSheetId="0" hidden="1">'Casuística'!$A$2:$AN$302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\-#,##0;&quot;&quot;"/>
    <numFmt numFmtId="165" formatCode="dd/mm/yyyy"/>
  </numFmts>
  <fonts count="9">
    <font>
      <name val="Calibri"/>
      <color theme="1"/>
      <sz val="11"/>
      <scheme val="minor"/>
    </font>
    <font>
      <name val="Arial"/>
      <b val="1"/>
      <color theme="1"/>
      <sz val="10"/>
    </font>
    <font>
      <name val="Arial"/>
      <i val="1"/>
      <color theme="1"/>
      <sz val="10"/>
    </font>
    <font>
      <name val="Arial"/>
      <b val="1"/>
      <color rgb="FFFFFFFF"/>
      <sz val="10"/>
    </font>
    <font/>
    <font>
      <name val="Arial"/>
      <color theme="1"/>
      <sz val="10"/>
    </font>
    <font>
      <name val="Calibri"/>
      <color theme="1"/>
      <sz val="11"/>
    </font>
    <font>
      <name val="Calibri"/>
      <color theme="1"/>
      <scheme val="minor"/>
    </font>
    <font>
      <name val="Arial"/>
      <i val="1"/>
      <color theme="1"/>
      <sz val="9"/>
    </font>
  </fonts>
  <fills count="19">
    <fill>
      <patternFill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2D2E0"/>
        <bgColor rgb="FFB2D2E0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E182BF"/>
        <bgColor rgb="FFE182BF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1" fillId="5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bottom" textRotation="90" wrapText="1"/>
    </xf>
    <xf numFmtId="0" fontId="3" fillId="6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bottom" textRotation="90" wrapText="1"/>
    </xf>
    <xf numFmtId="0" fontId="3" fillId="7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righ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164" fontId="1" fillId="1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" fillId="17" borderId="5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vertical="bottom"/>
    </xf>
    <xf numFmtId="0" fontId="3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4" fillId="0" borderId="7" pivotButton="0" quotePrefix="0" xfId="0"/>
    <xf numFmtId="0" fontId="1" fillId="17" borderId="2" applyAlignment="1" pivotButton="0" quotePrefix="0" xfId="0">
      <alignment horizontal="center" vertical="center" wrapText="1"/>
    </xf>
    <xf numFmtId="0" fontId="5" fillId="18" borderId="6" applyAlignment="1" pivotButton="0" quotePrefix="0" xfId="0">
      <alignment horizontal="center" vertical="center"/>
    </xf>
    <xf numFmtId="0" fontId="4" fillId="0" borderId="8" pivotButton="0" quotePrefix="0" xfId="0"/>
    <xf numFmtId="0" fontId="5" fillId="5" borderId="5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left" vertical="center" wrapText="1"/>
    </xf>
    <xf numFmtId="164" fontId="1" fillId="17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1" fillId="17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165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165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5" borderId="2" applyAlignment="1" pivotButton="0" quotePrefix="0" xfId="0">
      <alignment horizontal="left" vertical="center" wrapText="1"/>
    </xf>
    <xf numFmtId="0" fontId="1" fillId="16" borderId="2" applyAlignment="1" pivotButton="0" quotePrefix="0" xfId="0">
      <alignment horizontal="right" vertical="center" wrapText="1"/>
    </xf>
    <xf numFmtId="0" fontId="1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E06666"/>
    <outlinePr summaryBelow="1" summaryRight="1"/>
    <pageSetUpPr/>
  </sheetPr>
  <dimension ref="A1:AN3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 outlineLevelCol="0"/>
  <cols>
    <col width="11" customWidth="1" style="65" min="1" max="1"/>
    <col width="10" customWidth="1" style="65" min="2" max="2"/>
    <col width="6" customWidth="1" style="65" min="3" max="3"/>
    <col width="19" customWidth="1" style="65" min="4" max="4"/>
    <col width="11" customWidth="1" style="65" min="5" max="5"/>
    <col width="6" customWidth="1" style="65" min="6" max="6"/>
    <col width="15" customWidth="1" style="65" min="7" max="7"/>
    <col width="20" customWidth="1" style="65" min="8" max="8"/>
    <col width="17" customWidth="1" style="65" min="9" max="9"/>
    <col width="28" customWidth="1" style="65" min="10" max="10"/>
    <col width="24" customWidth="1" style="65" min="11" max="11"/>
    <col width="30" customWidth="1" style="65" min="12" max="12"/>
    <col width="12" customWidth="1" style="65" min="13" max="13"/>
    <col width="17" customWidth="1" style="65" min="14" max="14"/>
    <col width="13" customWidth="1" style="65" min="15" max="15"/>
    <col width="20" customWidth="1" style="65" min="16" max="16"/>
    <col width="13" customWidth="1" style="65" min="17" max="19"/>
    <col width="26" customWidth="1" style="65" min="20" max="21"/>
    <col width="13" customWidth="1" style="65" min="22" max="24"/>
    <col width="24" customWidth="1" style="65" min="25" max="25"/>
    <col width="21" customWidth="1" style="65" min="26" max="26"/>
    <col width="18" customWidth="1" style="65" min="27" max="27"/>
    <col width="26" customWidth="1" style="65" min="28" max="28"/>
    <col width="15" customWidth="1" style="65" min="29" max="29"/>
    <col width="13" customWidth="1" style="65" min="30" max="37"/>
    <col width="34" customWidth="1" style="65" min="38" max="38"/>
    <col width="13" customWidth="1" style="65" min="39" max="39"/>
    <col width="34" customWidth="1" style="65" min="40" max="40"/>
  </cols>
  <sheetData>
    <row r="1" ht="15" customHeight="1" s="65">
      <c r="A1" s="26" t="n"/>
      <c r="B1" s="66" t="n"/>
      <c r="C1" s="27" t="inlineStr">
        <is>
          <t>DADOS DEMOGRÁFICOS</t>
        </is>
      </c>
      <c r="D1" s="67" t="n"/>
      <c r="E1" s="67" t="n"/>
      <c r="F1" s="66" t="n"/>
      <c r="G1" s="29" t="inlineStr">
        <is>
          <t>REGIME E ESPECIALIDADE</t>
        </is>
      </c>
      <c r="H1" s="67" t="n"/>
      <c r="I1" s="66" t="n"/>
      <c r="J1" s="30" t="inlineStr">
        <is>
          <t>DIAGNÓSTICO E PROCEDIMENTO</t>
        </is>
      </c>
      <c r="K1" s="67" t="n"/>
      <c r="L1" s="67" t="n"/>
      <c r="M1" s="66" t="n"/>
      <c r="N1" s="32" t="inlineStr">
        <is>
          <t>TÉCNICA ANESTÉSICA</t>
        </is>
      </c>
      <c r="O1" s="66" t="n"/>
      <c r="P1" s="34" t="inlineStr">
        <is>
          <t>NEUROEIXO</t>
        </is>
      </c>
      <c r="Q1" s="67" t="n"/>
      <c r="R1" s="67" t="n"/>
      <c r="S1" s="66" t="n"/>
      <c r="T1" s="37" t="inlineStr">
        <is>
          <t>BLOQUEIOS PERIFÉRICOS</t>
        </is>
      </c>
      <c r="U1" s="67" t="n"/>
      <c r="V1" s="67" t="n"/>
      <c r="W1" s="67" t="n"/>
      <c r="X1" s="66" t="n"/>
      <c r="Y1" s="20" t="inlineStr">
        <is>
          <t>MONITORIZAÇÃO</t>
        </is>
      </c>
      <c r="Z1" s="40" t="inlineStr">
        <is>
          <t>VIA AÉREA</t>
        </is>
      </c>
      <c r="AA1" s="67" t="n"/>
      <c r="AB1" s="67" t="n"/>
      <c r="AC1" s="67" t="n"/>
      <c r="AD1" s="66" t="n"/>
      <c r="AE1" s="41" t="inlineStr">
        <is>
          <t>DISPOSITIVOS</t>
        </is>
      </c>
      <c r="AF1" s="67" t="n"/>
      <c r="AG1" s="67" t="n"/>
      <c r="AH1" s="67" t="n"/>
      <c r="AI1" s="67" t="n"/>
      <c r="AJ1" s="66" t="n"/>
      <c r="AK1" s="42" t="inlineStr">
        <is>
          <t>EVOLUÇÃO</t>
        </is>
      </c>
      <c r="AL1" s="67" t="n"/>
      <c r="AM1" s="66" t="n"/>
      <c r="AN1" s="26" t="n"/>
    </row>
    <row r="2" ht="30" customHeight="1" s="65">
      <c r="A2" s="26" t="inlineStr">
        <is>
          <t>Data</t>
        </is>
      </c>
      <c r="B2" s="26" t="inlineStr">
        <is>
          <t>NP</t>
        </is>
      </c>
      <c r="C2" s="27" t="inlineStr">
        <is>
          <t>Idade</t>
        </is>
      </c>
      <c r="D2" s="27" t="inlineStr">
        <is>
          <t>Grupo Etário</t>
        </is>
      </c>
      <c r="E2" s="27" t="inlineStr">
        <is>
          <t>Sexo</t>
        </is>
      </c>
      <c r="F2" s="27" t="inlineStr">
        <is>
          <t>ASA</t>
        </is>
      </c>
      <c r="G2" s="29" t="inlineStr">
        <is>
          <t>Regime</t>
        </is>
      </c>
      <c r="H2" s="29" t="inlineStr">
        <is>
          <t>Especialidade</t>
        </is>
      </c>
      <c r="I2" s="29" t="inlineStr">
        <is>
          <t>Local fora do BO</t>
        </is>
      </c>
      <c r="J2" s="30" t="inlineStr">
        <is>
          <t>Diagnóstico</t>
        </is>
      </c>
      <c r="K2" s="30" t="inlineStr">
        <is>
          <t>Particularidades</t>
        </is>
      </c>
      <c r="L2" s="30" t="inlineStr">
        <is>
          <t>Procedimento</t>
        </is>
      </c>
      <c r="M2" s="30" t="inlineStr">
        <is>
          <t>Duração</t>
        </is>
      </c>
      <c r="N2" s="32" t="inlineStr">
        <is>
          <t>Técnica Anestésica</t>
        </is>
      </c>
      <c r="O2" s="32" t="inlineStr">
        <is>
          <t>Anestesia Geral</t>
        </is>
      </c>
      <c r="P2" s="34" t="inlineStr">
        <is>
          <t>Neuroeixo</t>
        </is>
      </c>
      <c r="Q2" s="34" t="inlineStr">
        <is>
          <t>Método</t>
        </is>
      </c>
      <c r="R2" s="34" t="inlineStr">
        <is>
          <t>Intuito</t>
        </is>
      </c>
      <c r="S2" s="34" t="inlineStr">
        <is>
          <t>Sucesso</t>
        </is>
      </c>
      <c r="T2" s="37" t="inlineStr">
        <is>
          <t>Bloqueio Periférico 1</t>
        </is>
      </c>
      <c r="U2" s="37" t="inlineStr">
        <is>
          <t>Bloqueio Periférico 2</t>
        </is>
      </c>
      <c r="V2" s="37" t="inlineStr">
        <is>
          <t>Método</t>
        </is>
      </c>
      <c r="W2" s="37" t="inlineStr">
        <is>
          <t>Intuito</t>
        </is>
      </c>
      <c r="X2" s="37" t="inlineStr">
        <is>
          <t>Sucesso</t>
        </is>
      </c>
      <c r="Y2" s="20" t="inlineStr">
        <is>
          <t>Monitorização</t>
        </is>
      </c>
      <c r="Z2" s="40" t="inlineStr">
        <is>
          <t>Tipo VA</t>
        </is>
      </c>
      <c r="AA2" s="40" t="inlineStr">
        <is>
          <t>Técnica VA</t>
        </is>
      </c>
      <c r="AB2" s="40" t="inlineStr">
        <is>
          <t>Laringoscópio e Adjuvantes</t>
        </is>
      </c>
      <c r="AC2" s="40" t="inlineStr">
        <is>
          <t>Cormack-Lehane</t>
        </is>
      </c>
      <c r="AD2" s="40" t="inlineStr">
        <is>
          <t>Sucesso VA</t>
        </is>
      </c>
      <c r="AE2" s="41" t="inlineStr">
        <is>
          <t>Linha Arterial</t>
        </is>
      </c>
      <c r="AF2" s="41" t="inlineStr">
        <is>
          <t>Método LA</t>
        </is>
      </c>
      <c r="AG2" s="41" t="inlineStr">
        <is>
          <t>Sucesso LA</t>
        </is>
      </c>
      <c r="AH2" s="41" t="inlineStr">
        <is>
          <t>CVC</t>
        </is>
      </c>
      <c r="AI2" s="41" t="inlineStr">
        <is>
          <t>Método CVC</t>
        </is>
      </c>
      <c r="AJ2" s="41" t="inlineStr">
        <is>
          <t>Sucesso CVC</t>
        </is>
      </c>
      <c r="AK2" s="42" t="inlineStr">
        <is>
          <t>Destino</t>
        </is>
      </c>
      <c r="AL2" s="42" t="inlineStr">
        <is>
          <t>Complicações</t>
        </is>
      </c>
      <c r="AM2" s="42" t="inlineStr">
        <is>
          <t>Caso complexo</t>
        </is>
      </c>
      <c r="AN2" s="26" t="inlineStr">
        <is>
          <t>Observações</t>
        </is>
      </c>
    </row>
    <row r="3">
      <c r="A3" s="59" t="n"/>
      <c r="B3" s="60" t="n"/>
      <c r="C3" s="60" t="n"/>
      <c r="D3" s="60" t="n"/>
      <c r="E3" s="60" t="n"/>
      <c r="F3" s="60" t="n"/>
      <c r="G3" s="60" t="n"/>
      <c r="H3" s="60" t="n"/>
      <c r="I3" s="60" t="n"/>
      <c r="J3" s="61" t="n"/>
      <c r="K3" s="61" t="n"/>
      <c r="L3" s="61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0" t="n"/>
      <c r="AF3" s="60" t="n"/>
      <c r="AG3" s="60" t="n"/>
      <c r="AH3" s="60" t="n"/>
      <c r="AI3" s="60" t="n"/>
      <c r="AJ3" s="60" t="n"/>
      <c r="AK3" s="60" t="n"/>
      <c r="AL3" s="61" t="n"/>
      <c r="AM3" s="60" t="n"/>
      <c r="AN3" s="61" t="n"/>
    </row>
    <row r="4">
      <c r="A4" s="59" t="n"/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  <c r="K4" s="61" t="n"/>
      <c r="L4" s="61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1" t="n"/>
      <c r="AM4" s="60" t="n"/>
      <c r="AN4" s="61" t="n"/>
    </row>
    <row r="5">
      <c r="A5" s="59" t="n"/>
      <c r="B5" s="60" t="n"/>
      <c r="C5" s="60" t="n"/>
      <c r="D5" s="60" t="n"/>
      <c r="E5" s="60" t="n"/>
      <c r="F5" s="60" t="n"/>
      <c r="G5" s="60" t="n"/>
      <c r="H5" s="60" t="n"/>
      <c r="I5" s="60" t="n"/>
      <c r="J5" s="61" t="n"/>
      <c r="K5" s="61" t="n"/>
      <c r="L5" s="61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  <c r="AA5" s="60" t="n"/>
      <c r="AB5" s="60" t="n"/>
      <c r="AC5" s="60" t="n"/>
      <c r="AD5" s="60" t="n"/>
      <c r="AE5" s="60" t="n"/>
      <c r="AF5" s="60" t="n"/>
      <c r="AG5" s="60" t="n"/>
      <c r="AH5" s="60" t="n"/>
      <c r="AI5" s="60" t="n"/>
      <c r="AJ5" s="60" t="n"/>
      <c r="AK5" s="60" t="n"/>
      <c r="AL5" s="61" t="n"/>
      <c r="AM5" s="60" t="n"/>
      <c r="AN5" s="61" t="n"/>
    </row>
    <row r="6">
      <c r="A6" s="59" t="n"/>
      <c r="B6" s="60" t="n"/>
      <c r="C6" s="60" t="n"/>
      <c r="D6" s="60" t="n"/>
      <c r="E6" s="60" t="n"/>
      <c r="F6" s="60" t="n"/>
      <c r="G6" s="60" t="n"/>
      <c r="H6" s="60" t="n"/>
      <c r="I6" s="60" t="n"/>
      <c r="J6" s="61" t="n"/>
      <c r="K6" s="61" t="n"/>
      <c r="L6" s="61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  <c r="AF6" s="60" t="n"/>
      <c r="AG6" s="60" t="n"/>
      <c r="AH6" s="60" t="n"/>
      <c r="AI6" s="60" t="n"/>
      <c r="AJ6" s="60" t="n"/>
      <c r="AK6" s="60" t="n"/>
      <c r="AL6" s="61" t="n"/>
      <c r="AM6" s="60" t="n"/>
      <c r="AN6" s="61" t="n"/>
    </row>
    <row r="7">
      <c r="A7" s="59" t="n"/>
      <c r="B7" s="60" t="n"/>
      <c r="C7" s="60" t="n"/>
      <c r="D7" s="60" t="n"/>
      <c r="E7" s="60" t="n"/>
      <c r="F7" s="60" t="n"/>
      <c r="G7" s="60" t="n"/>
      <c r="H7" s="60" t="n"/>
      <c r="I7" s="60" t="n"/>
      <c r="J7" s="61" t="n"/>
      <c r="K7" s="61" t="n"/>
      <c r="L7" s="61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1" t="n"/>
      <c r="AM7" s="60" t="n"/>
      <c r="AN7" s="61" t="n"/>
    </row>
    <row r="8">
      <c r="A8" s="59" t="n"/>
      <c r="B8" s="60" t="n"/>
      <c r="C8" s="60" t="n"/>
      <c r="D8" s="60" t="n"/>
      <c r="E8" s="60" t="n"/>
      <c r="F8" s="60" t="n"/>
      <c r="G8" s="60" t="n"/>
      <c r="H8" s="60" t="n"/>
      <c r="I8" s="60" t="n"/>
      <c r="J8" s="61" t="n"/>
      <c r="K8" s="61" t="n"/>
      <c r="L8" s="61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1" t="n"/>
      <c r="AM8" s="60" t="n"/>
      <c r="AN8" s="61" t="n"/>
    </row>
    <row r="9">
      <c r="A9" s="59" t="n"/>
      <c r="B9" s="60" t="n"/>
      <c r="C9" s="60" t="n"/>
      <c r="D9" s="60" t="n"/>
      <c r="E9" s="60" t="n"/>
      <c r="F9" s="60" t="n"/>
      <c r="G9" s="60" t="n"/>
      <c r="H9" s="60" t="n"/>
      <c r="I9" s="60" t="n"/>
      <c r="J9" s="61" t="n"/>
      <c r="K9" s="61" t="n"/>
      <c r="L9" s="61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1" t="n"/>
      <c r="AM9" s="60" t="n"/>
      <c r="AN9" s="61" t="n"/>
    </row>
    <row r="10">
      <c r="A10" s="59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1" t="n"/>
      <c r="K10" s="61" t="n"/>
      <c r="L10" s="61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1" t="n"/>
      <c r="AM10" s="60" t="n"/>
      <c r="AN10" s="61" t="n"/>
    </row>
    <row r="11">
      <c r="A11" s="59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1" t="n"/>
      <c r="K11" s="61" t="n"/>
      <c r="L11" s="61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1" t="n"/>
      <c r="AM11" s="60" t="n"/>
      <c r="AN11" s="61" t="n"/>
    </row>
    <row r="12">
      <c r="A12" s="59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1" t="n"/>
      <c r="K12" s="61" t="n"/>
      <c r="L12" s="61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1" t="n"/>
      <c r="AM12" s="60" t="n"/>
      <c r="AN12" s="61" t="n"/>
    </row>
    <row r="13">
      <c r="A13" s="59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1" t="n"/>
      <c r="K13" s="61" t="n"/>
      <c r="L13" s="61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1" t="n"/>
      <c r="AM13" s="60" t="n"/>
      <c r="AN13" s="61" t="n"/>
    </row>
    <row r="14">
      <c r="A14" s="59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1" t="n"/>
      <c r="K14" s="61" t="n"/>
      <c r="L14" s="61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1" t="n"/>
      <c r="AM14" s="60" t="n"/>
      <c r="AN14" s="61" t="n"/>
    </row>
    <row r="15">
      <c r="A15" s="59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1" t="n"/>
      <c r="K15" s="61" t="n"/>
      <c r="L15" s="61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1" t="n"/>
      <c r="AM15" s="60" t="n"/>
      <c r="AN15" s="61" t="n"/>
    </row>
    <row r="16">
      <c r="A16" s="59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1" t="n"/>
      <c r="K16" s="61" t="n"/>
      <c r="L16" s="61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1" t="n"/>
      <c r="AM16" s="60" t="n"/>
      <c r="AN16" s="61" t="n"/>
    </row>
    <row r="17">
      <c r="A17" s="59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1" t="n"/>
      <c r="K17" s="61" t="n"/>
      <c r="L17" s="61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1" t="n"/>
      <c r="AM17" s="60" t="n"/>
      <c r="AN17" s="61" t="n"/>
    </row>
    <row r="18">
      <c r="A18" s="59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1" t="n"/>
      <c r="K18" s="61" t="n"/>
      <c r="L18" s="61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1" t="n"/>
      <c r="AM18" s="60" t="n"/>
      <c r="AN18" s="61" t="n"/>
    </row>
    <row r="19">
      <c r="A19" s="59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1" t="n"/>
      <c r="K19" s="61" t="n"/>
      <c r="L19" s="61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0" t="n"/>
      <c r="AL19" s="61" t="n"/>
      <c r="AM19" s="60" t="n"/>
      <c r="AN19" s="61" t="n"/>
    </row>
    <row r="20">
      <c r="A20" s="59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1" t="n"/>
      <c r="K20" s="61" t="n"/>
      <c r="L20" s="61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1" t="n"/>
      <c r="AM20" s="60" t="n"/>
      <c r="AN20" s="61" t="n"/>
    </row>
    <row r="21" ht="15.75" customHeight="1" s="65">
      <c r="A21" s="59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1" t="n"/>
      <c r="K21" s="61" t="n"/>
      <c r="L21" s="61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0" t="n"/>
      <c r="AL21" s="61" t="n"/>
      <c r="AM21" s="60" t="n"/>
      <c r="AN21" s="61" t="n"/>
    </row>
    <row r="22" ht="15.75" customHeight="1" s="65">
      <c r="A22" s="59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1" t="n"/>
      <c r="K22" s="61" t="n"/>
      <c r="L22" s="61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1" t="n"/>
      <c r="AM22" s="60" t="n"/>
      <c r="AN22" s="61" t="n"/>
    </row>
    <row r="23" ht="15.75" customHeight="1" s="65">
      <c r="A23" s="59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1" t="n"/>
      <c r="K23" s="61" t="n"/>
      <c r="L23" s="61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0" t="n"/>
      <c r="AL23" s="61" t="n"/>
      <c r="AM23" s="60" t="n"/>
      <c r="AN23" s="61" t="n"/>
    </row>
    <row r="24" ht="15.75" customHeight="1" s="65">
      <c r="A24" s="59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1" t="n"/>
      <c r="K24" s="61" t="n"/>
      <c r="L24" s="61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1" t="n"/>
      <c r="AM24" s="60" t="n"/>
      <c r="AN24" s="61" t="n"/>
    </row>
    <row r="25" ht="15.75" customHeight="1" s="65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1" t="n"/>
      <c r="K25" s="61" t="n"/>
      <c r="L25" s="61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  <c r="AI25" s="60" t="n"/>
      <c r="AJ25" s="60" t="n"/>
      <c r="AK25" s="60" t="n"/>
      <c r="AL25" s="61" t="n"/>
      <c r="AM25" s="60" t="n"/>
      <c r="AN25" s="61" t="n"/>
    </row>
    <row r="26" ht="15.75" customHeight="1" s="65">
      <c r="A26" s="59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1" t="n"/>
      <c r="K26" s="61" t="n"/>
      <c r="L26" s="61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1" t="n"/>
      <c r="AM26" s="60" t="n"/>
      <c r="AN26" s="61" t="n"/>
    </row>
    <row r="27" ht="15.75" customHeight="1" s="65">
      <c r="A27" s="59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1" t="n"/>
      <c r="K27" s="61" t="n"/>
      <c r="L27" s="61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1" t="n"/>
      <c r="AM27" s="60" t="n"/>
      <c r="AN27" s="61" t="n"/>
    </row>
    <row r="28" ht="15.75" customHeight="1" s="65">
      <c r="A28" s="59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1" t="n"/>
      <c r="K28" s="61" t="n"/>
      <c r="L28" s="61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1" t="n"/>
      <c r="AM28" s="60" t="n"/>
      <c r="AN28" s="61" t="n"/>
    </row>
    <row r="29" ht="15.75" customHeight="1" s="65">
      <c r="A29" s="59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1" t="n"/>
      <c r="K29" s="61" t="n"/>
      <c r="L29" s="61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1" t="n"/>
      <c r="AM29" s="60" t="n"/>
      <c r="AN29" s="61" t="n"/>
    </row>
    <row r="30" ht="15.75" customHeight="1" s="65">
      <c r="A30" s="59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1" t="n"/>
      <c r="K30" s="61" t="n"/>
      <c r="L30" s="61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1" t="n"/>
      <c r="AM30" s="60" t="n"/>
      <c r="AN30" s="61" t="n"/>
    </row>
    <row r="31" ht="15.75" customHeight="1" s="65">
      <c r="A31" s="59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1" t="n"/>
      <c r="K31" s="61" t="n"/>
      <c r="L31" s="61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  <c r="AI31" s="60" t="n"/>
      <c r="AJ31" s="60" t="n"/>
      <c r="AK31" s="60" t="n"/>
      <c r="AL31" s="61" t="n"/>
      <c r="AM31" s="60" t="n"/>
      <c r="AN31" s="61" t="n"/>
    </row>
    <row r="32" ht="15.75" customHeight="1" s="65">
      <c r="A32" s="59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1" t="n"/>
      <c r="K32" s="61" t="n"/>
      <c r="L32" s="61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0" t="n"/>
      <c r="AL32" s="61" t="n"/>
      <c r="AM32" s="60" t="n"/>
      <c r="AN32" s="61" t="n"/>
    </row>
    <row r="33" ht="15.75" customHeight="1" s="65">
      <c r="A33" s="59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1" t="n"/>
      <c r="K33" s="61" t="n"/>
      <c r="L33" s="61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1" t="n"/>
      <c r="AM33" s="60" t="n"/>
      <c r="AN33" s="61" t="n"/>
    </row>
    <row r="34" ht="15.75" customHeight="1" s="65">
      <c r="A34" s="59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1" t="n"/>
      <c r="K34" s="61" t="n"/>
      <c r="L34" s="61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1" t="n"/>
      <c r="AM34" s="60" t="n"/>
      <c r="AN34" s="61" t="n"/>
    </row>
    <row r="35" ht="15.75" customHeight="1" s="65">
      <c r="A35" s="59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1" t="n"/>
      <c r="K35" s="61" t="n"/>
      <c r="L35" s="61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  <c r="AI35" s="60" t="n"/>
      <c r="AJ35" s="60" t="n"/>
      <c r="AK35" s="60" t="n"/>
      <c r="AL35" s="61" t="n"/>
      <c r="AM35" s="60" t="n"/>
      <c r="AN35" s="61" t="n"/>
    </row>
    <row r="36" ht="15.75" customHeight="1" s="65">
      <c r="A36" s="59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1" t="n"/>
      <c r="K36" s="61" t="n"/>
      <c r="L36" s="61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1" t="n"/>
      <c r="AM36" s="60" t="n"/>
      <c r="AN36" s="61" t="n"/>
    </row>
    <row r="37" ht="15.75" customHeight="1" s="65">
      <c r="A37" s="59" t="n"/>
      <c r="B37" s="60" t="n"/>
      <c r="C37" s="60" t="n"/>
      <c r="D37" s="60" t="n"/>
      <c r="E37" s="60" t="n"/>
      <c r="F37" s="60" t="n"/>
      <c r="G37" s="60" t="n"/>
      <c r="H37" s="60" t="n"/>
      <c r="I37" s="60" t="n"/>
      <c r="J37" s="61" t="n"/>
      <c r="K37" s="61" t="n"/>
      <c r="L37" s="61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0" t="n"/>
      <c r="AH37" s="60" t="n"/>
      <c r="AI37" s="60" t="n"/>
      <c r="AJ37" s="60" t="n"/>
      <c r="AK37" s="60" t="n"/>
      <c r="AL37" s="61" t="n"/>
      <c r="AM37" s="60" t="n"/>
      <c r="AN37" s="61" t="n"/>
    </row>
    <row r="38" ht="15.75" customHeight="1" s="65">
      <c r="A38" s="59" t="n"/>
      <c r="B38" s="60" t="n"/>
      <c r="C38" s="60" t="n"/>
      <c r="D38" s="60" t="n"/>
      <c r="E38" s="60" t="n"/>
      <c r="F38" s="60" t="n"/>
      <c r="G38" s="60" t="n"/>
      <c r="H38" s="60" t="n"/>
      <c r="I38" s="60" t="n"/>
      <c r="J38" s="61" t="n"/>
      <c r="K38" s="61" t="n"/>
      <c r="L38" s="61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  <c r="AI38" s="60" t="n"/>
      <c r="AJ38" s="60" t="n"/>
      <c r="AK38" s="60" t="n"/>
      <c r="AL38" s="61" t="n"/>
      <c r="AM38" s="60" t="n"/>
      <c r="AN38" s="61" t="n"/>
    </row>
    <row r="39" ht="15.75" customHeight="1" s="65">
      <c r="A39" s="59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1" t="n"/>
      <c r="K39" s="61" t="n"/>
      <c r="L39" s="61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1" t="n"/>
      <c r="AM39" s="60" t="n"/>
      <c r="AN39" s="61" t="n"/>
    </row>
    <row r="40" ht="15.75" customHeight="1" s="65">
      <c r="A40" s="59" t="n"/>
      <c r="B40" s="60" t="n"/>
      <c r="C40" s="60" t="n"/>
      <c r="D40" s="60" t="n"/>
      <c r="E40" s="60" t="n"/>
      <c r="F40" s="60" t="n"/>
      <c r="G40" s="60" t="n"/>
      <c r="H40" s="60" t="n"/>
      <c r="I40" s="60" t="n"/>
      <c r="J40" s="61" t="n"/>
      <c r="K40" s="61" t="n"/>
      <c r="L40" s="61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1" t="n"/>
      <c r="AM40" s="60" t="n"/>
      <c r="AN40" s="61" t="n"/>
    </row>
    <row r="41" ht="15.75" customHeight="1" s="65">
      <c r="A41" s="59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1" t="n"/>
      <c r="K41" s="61" t="n"/>
      <c r="L41" s="61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  <c r="AI41" s="60" t="n"/>
      <c r="AJ41" s="60" t="n"/>
      <c r="AK41" s="60" t="n"/>
      <c r="AL41" s="61" t="n"/>
      <c r="AM41" s="60" t="n"/>
      <c r="AN41" s="61" t="n"/>
    </row>
    <row r="42" ht="15.75" customHeight="1" s="65">
      <c r="A42" s="59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1" t="n"/>
      <c r="K42" s="61" t="n"/>
      <c r="L42" s="61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1" t="n"/>
      <c r="AM42" s="60" t="n"/>
      <c r="AN42" s="61" t="n"/>
    </row>
    <row r="43" ht="15.75" customHeight="1" s="65">
      <c r="A43" s="59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1" t="n"/>
      <c r="K43" s="61" t="n"/>
      <c r="L43" s="61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1" t="n"/>
      <c r="AM43" s="60" t="n"/>
      <c r="AN43" s="61" t="n"/>
    </row>
    <row r="44" ht="15.75" customHeight="1" s="65">
      <c r="A44" s="59" t="n"/>
      <c r="B44" s="60" t="n"/>
      <c r="C44" s="60" t="n"/>
      <c r="D44" s="60" t="n"/>
      <c r="E44" s="60" t="n"/>
      <c r="F44" s="60" t="n"/>
      <c r="G44" s="60" t="n"/>
      <c r="H44" s="60" t="n"/>
      <c r="I44" s="60" t="n"/>
      <c r="J44" s="61" t="n"/>
      <c r="K44" s="61" t="n"/>
      <c r="L44" s="61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60" t="n"/>
      <c r="AJ44" s="60" t="n"/>
      <c r="AK44" s="60" t="n"/>
      <c r="AL44" s="61" t="n"/>
      <c r="AM44" s="60" t="n"/>
      <c r="AN44" s="61" t="n"/>
    </row>
    <row r="45" ht="15.75" customHeight="1" s="65">
      <c r="A45" s="59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1" t="n"/>
      <c r="K45" s="61" t="n"/>
      <c r="L45" s="61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1" t="n"/>
      <c r="AM45" s="60" t="n"/>
      <c r="AN45" s="61" t="n"/>
    </row>
    <row r="46" ht="15.75" customHeight="1" s="65">
      <c r="A46" s="59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1" t="n"/>
      <c r="K46" s="61" t="n"/>
      <c r="L46" s="61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1" t="n"/>
      <c r="AM46" s="60" t="n"/>
      <c r="AN46" s="61" t="n"/>
    </row>
    <row r="47" ht="15.75" customHeight="1" s="65">
      <c r="A47" s="59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1" t="n"/>
      <c r="K47" s="61" t="n"/>
      <c r="L47" s="61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  <c r="AA47" s="60" t="n"/>
      <c r="AB47" s="60" t="n"/>
      <c r="AC47" s="60" t="n"/>
      <c r="AD47" s="60" t="n"/>
      <c r="AE47" s="60" t="n"/>
      <c r="AF47" s="60" t="n"/>
      <c r="AG47" s="60" t="n"/>
      <c r="AH47" s="60" t="n"/>
      <c r="AI47" s="60" t="n"/>
      <c r="AJ47" s="60" t="n"/>
      <c r="AK47" s="60" t="n"/>
      <c r="AL47" s="61" t="n"/>
      <c r="AM47" s="60" t="n"/>
      <c r="AN47" s="61" t="n"/>
    </row>
    <row r="48" ht="15.75" customHeight="1" s="65">
      <c r="A48" s="59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1" t="n"/>
      <c r="K48" s="61" t="n"/>
      <c r="L48" s="61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0" t="n"/>
      <c r="AL48" s="61" t="n"/>
      <c r="AM48" s="60" t="n"/>
      <c r="AN48" s="61" t="n"/>
    </row>
    <row r="49" ht="15.75" customHeight="1" s="65">
      <c r="A49" s="59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1" t="n"/>
      <c r="K49" s="61" t="n"/>
      <c r="L49" s="61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  <c r="AA49" s="60" t="n"/>
      <c r="AB49" s="60" t="n"/>
      <c r="AC49" s="60" t="n"/>
      <c r="AD49" s="60" t="n"/>
      <c r="AE49" s="60" t="n"/>
      <c r="AF49" s="60" t="n"/>
      <c r="AG49" s="60" t="n"/>
      <c r="AH49" s="60" t="n"/>
      <c r="AI49" s="60" t="n"/>
      <c r="AJ49" s="60" t="n"/>
      <c r="AK49" s="60" t="n"/>
      <c r="AL49" s="61" t="n"/>
      <c r="AM49" s="60" t="n"/>
      <c r="AN49" s="61" t="n"/>
    </row>
    <row r="50" ht="15.75" customHeight="1" s="65">
      <c r="A50" s="59" t="n"/>
      <c r="B50" s="60" t="n"/>
      <c r="C50" s="60" t="n"/>
      <c r="D50" s="60" t="n"/>
      <c r="E50" s="60" t="n"/>
      <c r="F50" s="60" t="n"/>
      <c r="G50" s="60" t="n"/>
      <c r="H50" s="60" t="n"/>
      <c r="I50" s="60" t="n"/>
      <c r="J50" s="61" t="n"/>
      <c r="K50" s="61" t="n"/>
      <c r="L50" s="61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  <c r="AA50" s="60" t="n"/>
      <c r="AB50" s="60" t="n"/>
      <c r="AC50" s="60" t="n"/>
      <c r="AD50" s="60" t="n"/>
      <c r="AE50" s="60" t="n"/>
      <c r="AF50" s="60" t="n"/>
      <c r="AG50" s="60" t="n"/>
      <c r="AH50" s="60" t="n"/>
      <c r="AI50" s="60" t="n"/>
      <c r="AJ50" s="60" t="n"/>
      <c r="AK50" s="60" t="n"/>
      <c r="AL50" s="61" t="n"/>
      <c r="AM50" s="60" t="n"/>
      <c r="AN50" s="61" t="n"/>
    </row>
    <row r="51" ht="15.75" customHeight="1" s="65">
      <c r="A51" s="59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1" t="n"/>
      <c r="K51" s="61" t="n"/>
      <c r="L51" s="61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60" t="n"/>
      <c r="AG51" s="60" t="n"/>
      <c r="AH51" s="60" t="n"/>
      <c r="AI51" s="60" t="n"/>
      <c r="AJ51" s="60" t="n"/>
      <c r="AK51" s="60" t="n"/>
      <c r="AL51" s="61" t="n"/>
      <c r="AM51" s="60" t="n"/>
      <c r="AN51" s="61" t="n"/>
    </row>
    <row r="52" ht="15.75" customHeight="1" s="65">
      <c r="A52" s="59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1" t="n"/>
      <c r="K52" s="61" t="n"/>
      <c r="L52" s="61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60" t="n"/>
      <c r="AG52" s="60" t="n"/>
      <c r="AH52" s="60" t="n"/>
      <c r="AI52" s="60" t="n"/>
      <c r="AJ52" s="60" t="n"/>
      <c r="AK52" s="60" t="n"/>
      <c r="AL52" s="61" t="n"/>
      <c r="AM52" s="60" t="n"/>
      <c r="AN52" s="61" t="n"/>
    </row>
    <row r="53" ht="15.75" customHeight="1" s="65">
      <c r="A53" s="59" t="n"/>
      <c r="B53" s="60" t="n"/>
      <c r="C53" s="60" t="n"/>
      <c r="D53" s="60" t="n"/>
      <c r="E53" s="60" t="n"/>
      <c r="F53" s="60" t="n"/>
      <c r="G53" s="60" t="n"/>
      <c r="H53" s="60" t="n"/>
      <c r="I53" s="60" t="n"/>
      <c r="J53" s="61" t="n"/>
      <c r="K53" s="61" t="n"/>
      <c r="L53" s="61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  <c r="AA53" s="60" t="n"/>
      <c r="AB53" s="60" t="n"/>
      <c r="AC53" s="60" t="n"/>
      <c r="AD53" s="60" t="n"/>
      <c r="AE53" s="60" t="n"/>
      <c r="AF53" s="60" t="n"/>
      <c r="AG53" s="60" t="n"/>
      <c r="AH53" s="60" t="n"/>
      <c r="AI53" s="60" t="n"/>
      <c r="AJ53" s="60" t="n"/>
      <c r="AK53" s="60" t="n"/>
      <c r="AL53" s="61" t="n"/>
      <c r="AM53" s="60" t="n"/>
      <c r="AN53" s="61" t="n"/>
    </row>
    <row r="54" ht="15.75" customHeight="1" s="65">
      <c r="A54" s="59" t="n"/>
      <c r="B54" s="60" t="n"/>
      <c r="C54" s="60" t="n"/>
      <c r="D54" s="60" t="n"/>
      <c r="E54" s="60" t="n"/>
      <c r="F54" s="60" t="n"/>
      <c r="G54" s="60" t="n"/>
      <c r="H54" s="60" t="n"/>
      <c r="I54" s="60" t="n"/>
      <c r="J54" s="61" t="n"/>
      <c r="K54" s="61" t="n"/>
      <c r="L54" s="61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60" t="n"/>
      <c r="AG54" s="60" t="n"/>
      <c r="AH54" s="60" t="n"/>
      <c r="AI54" s="60" t="n"/>
      <c r="AJ54" s="60" t="n"/>
      <c r="AK54" s="60" t="n"/>
      <c r="AL54" s="61" t="n"/>
      <c r="AM54" s="60" t="n"/>
      <c r="AN54" s="61" t="n"/>
    </row>
    <row r="55" ht="15.75" customHeight="1" s="65">
      <c r="A55" s="59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1" t="n"/>
      <c r="K55" s="61" t="n"/>
      <c r="L55" s="61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  <c r="AA55" s="60" t="n"/>
      <c r="AB55" s="60" t="n"/>
      <c r="AC55" s="60" t="n"/>
      <c r="AD55" s="60" t="n"/>
      <c r="AE55" s="60" t="n"/>
      <c r="AF55" s="60" t="n"/>
      <c r="AG55" s="60" t="n"/>
      <c r="AH55" s="60" t="n"/>
      <c r="AI55" s="60" t="n"/>
      <c r="AJ55" s="60" t="n"/>
      <c r="AK55" s="60" t="n"/>
      <c r="AL55" s="61" t="n"/>
      <c r="AM55" s="60" t="n"/>
      <c r="AN55" s="61" t="n"/>
    </row>
    <row r="56" ht="15.75" customHeight="1" s="65">
      <c r="A56" s="59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1" t="n"/>
      <c r="K56" s="61" t="n"/>
      <c r="L56" s="61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0" t="n"/>
      <c r="AL56" s="61" t="n"/>
      <c r="AM56" s="60" t="n"/>
      <c r="AN56" s="61" t="n"/>
    </row>
    <row r="57" ht="15.75" customHeight="1" s="65">
      <c r="A57" s="59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1" t="n"/>
      <c r="K57" s="61" t="n"/>
      <c r="L57" s="61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  <c r="AA57" s="60" t="n"/>
      <c r="AB57" s="60" t="n"/>
      <c r="AC57" s="60" t="n"/>
      <c r="AD57" s="60" t="n"/>
      <c r="AE57" s="60" t="n"/>
      <c r="AF57" s="60" t="n"/>
      <c r="AG57" s="60" t="n"/>
      <c r="AH57" s="60" t="n"/>
      <c r="AI57" s="60" t="n"/>
      <c r="AJ57" s="60" t="n"/>
      <c r="AK57" s="60" t="n"/>
      <c r="AL57" s="61" t="n"/>
      <c r="AM57" s="60" t="n"/>
      <c r="AN57" s="61" t="n"/>
    </row>
    <row r="58" ht="15.75" customHeight="1" s="65">
      <c r="A58" s="59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1" t="n"/>
      <c r="K58" s="61" t="n"/>
      <c r="L58" s="61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  <c r="AI58" s="60" t="n"/>
      <c r="AJ58" s="60" t="n"/>
      <c r="AK58" s="60" t="n"/>
      <c r="AL58" s="61" t="n"/>
      <c r="AM58" s="60" t="n"/>
      <c r="AN58" s="61" t="n"/>
    </row>
    <row r="59" ht="15.75" customHeight="1" s="65">
      <c r="A59" s="59" t="n"/>
      <c r="B59" s="60" t="n"/>
      <c r="C59" s="60" t="n"/>
      <c r="D59" s="60" t="n"/>
      <c r="E59" s="60" t="n"/>
      <c r="F59" s="60" t="n"/>
      <c r="G59" s="60" t="n"/>
      <c r="H59" s="60" t="n"/>
      <c r="I59" s="60" t="n"/>
      <c r="J59" s="61" t="n"/>
      <c r="K59" s="61" t="n"/>
      <c r="L59" s="61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  <c r="AA59" s="60" t="n"/>
      <c r="AB59" s="60" t="n"/>
      <c r="AC59" s="60" t="n"/>
      <c r="AD59" s="60" t="n"/>
      <c r="AE59" s="60" t="n"/>
      <c r="AF59" s="60" t="n"/>
      <c r="AG59" s="60" t="n"/>
      <c r="AH59" s="60" t="n"/>
      <c r="AI59" s="60" t="n"/>
      <c r="AJ59" s="60" t="n"/>
      <c r="AK59" s="60" t="n"/>
      <c r="AL59" s="61" t="n"/>
      <c r="AM59" s="60" t="n"/>
      <c r="AN59" s="61" t="n"/>
    </row>
    <row r="60" ht="15.75" customHeight="1" s="65">
      <c r="A60" s="59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1" t="n"/>
      <c r="K60" s="61" t="n"/>
      <c r="L60" s="61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0" t="n"/>
      <c r="AL60" s="61" t="n"/>
      <c r="AM60" s="60" t="n"/>
      <c r="AN60" s="61" t="n"/>
    </row>
    <row r="61" ht="15.75" customHeight="1" s="65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0" t="n"/>
      <c r="J61" s="61" t="n"/>
      <c r="K61" s="61" t="n"/>
      <c r="L61" s="61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  <c r="AA61" s="60" t="n"/>
      <c r="AB61" s="60" t="n"/>
      <c r="AC61" s="60" t="n"/>
      <c r="AD61" s="60" t="n"/>
      <c r="AE61" s="60" t="n"/>
      <c r="AF61" s="60" t="n"/>
      <c r="AG61" s="60" t="n"/>
      <c r="AH61" s="60" t="n"/>
      <c r="AI61" s="60" t="n"/>
      <c r="AJ61" s="60" t="n"/>
      <c r="AK61" s="60" t="n"/>
      <c r="AL61" s="61" t="n"/>
      <c r="AM61" s="60" t="n"/>
      <c r="AN61" s="61" t="n"/>
    </row>
    <row r="62" ht="15.75" customHeight="1" s="65">
      <c r="A62" s="59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1" t="n"/>
      <c r="K62" s="61" t="n"/>
      <c r="L62" s="61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60" t="n"/>
      <c r="AL62" s="61" t="n"/>
      <c r="AM62" s="60" t="n"/>
      <c r="AN62" s="61" t="n"/>
    </row>
    <row r="63" ht="15.75" customHeight="1" s="65">
      <c r="A63" s="59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1" t="n"/>
      <c r="K63" s="61" t="n"/>
      <c r="L63" s="61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60" t="n"/>
      <c r="AG63" s="60" t="n"/>
      <c r="AH63" s="60" t="n"/>
      <c r="AI63" s="60" t="n"/>
      <c r="AJ63" s="60" t="n"/>
      <c r="AK63" s="60" t="n"/>
      <c r="AL63" s="61" t="n"/>
      <c r="AM63" s="60" t="n"/>
      <c r="AN63" s="61" t="n"/>
    </row>
    <row r="64" ht="15.75" customHeight="1" s="65">
      <c r="A64" s="59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1" t="n"/>
      <c r="K64" s="61" t="n"/>
      <c r="L64" s="61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1" t="n"/>
      <c r="AM64" s="60" t="n"/>
      <c r="AN64" s="61" t="n"/>
    </row>
    <row r="65" ht="15.75" customHeight="1" s="65">
      <c r="A65" s="59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1" t="n"/>
      <c r="K65" s="61" t="n"/>
      <c r="L65" s="61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0" t="n"/>
      <c r="AH65" s="60" t="n"/>
      <c r="AI65" s="60" t="n"/>
      <c r="AJ65" s="60" t="n"/>
      <c r="AK65" s="60" t="n"/>
      <c r="AL65" s="61" t="n"/>
      <c r="AM65" s="60" t="n"/>
      <c r="AN65" s="61" t="n"/>
    </row>
    <row r="66" ht="15.75" customHeight="1" s="65">
      <c r="A66" s="59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1" t="n"/>
      <c r="K66" s="61" t="n"/>
      <c r="L66" s="61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60" t="n"/>
      <c r="AL66" s="61" t="n"/>
      <c r="AM66" s="60" t="n"/>
      <c r="AN66" s="61" t="n"/>
    </row>
    <row r="67" ht="15.75" customHeight="1" s="65">
      <c r="A67" s="59" t="n"/>
      <c r="B67" s="60" t="n"/>
      <c r="C67" s="60" t="n"/>
      <c r="D67" s="60" t="n"/>
      <c r="E67" s="60" t="n"/>
      <c r="F67" s="60" t="n"/>
      <c r="G67" s="60" t="n"/>
      <c r="H67" s="60" t="n"/>
      <c r="I67" s="60" t="n"/>
      <c r="J67" s="61" t="n"/>
      <c r="K67" s="61" t="n"/>
      <c r="L67" s="61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0" t="n"/>
      <c r="AH67" s="60" t="n"/>
      <c r="AI67" s="60" t="n"/>
      <c r="AJ67" s="60" t="n"/>
      <c r="AK67" s="60" t="n"/>
      <c r="AL67" s="61" t="n"/>
      <c r="AM67" s="60" t="n"/>
      <c r="AN67" s="61" t="n"/>
    </row>
    <row r="68" ht="15.75" customHeight="1" s="65">
      <c r="A68" s="59" t="n"/>
      <c r="B68" s="60" t="n"/>
      <c r="C68" s="60" t="n"/>
      <c r="D68" s="60" t="n"/>
      <c r="E68" s="60" t="n"/>
      <c r="F68" s="60" t="n"/>
      <c r="G68" s="60" t="n"/>
      <c r="H68" s="60" t="n"/>
      <c r="I68" s="60" t="n"/>
      <c r="J68" s="61" t="n"/>
      <c r="K68" s="61" t="n"/>
      <c r="L68" s="61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1" t="n"/>
      <c r="AM68" s="60" t="n"/>
      <c r="AN68" s="61" t="n"/>
    </row>
    <row r="69" ht="15.75" customHeight="1" s="65">
      <c r="A69" s="59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1" t="n"/>
      <c r="K69" s="61" t="n"/>
      <c r="L69" s="61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0" t="n"/>
      <c r="AH69" s="60" t="n"/>
      <c r="AI69" s="60" t="n"/>
      <c r="AJ69" s="60" t="n"/>
      <c r="AK69" s="60" t="n"/>
      <c r="AL69" s="61" t="n"/>
      <c r="AM69" s="60" t="n"/>
      <c r="AN69" s="61" t="n"/>
    </row>
    <row r="70" ht="15.75" customHeight="1" s="65">
      <c r="A70" s="59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1" t="n"/>
      <c r="K70" s="61" t="n"/>
      <c r="L70" s="61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1" t="n"/>
      <c r="AM70" s="60" t="n"/>
      <c r="AN70" s="61" t="n"/>
    </row>
    <row r="71" ht="15.75" customHeight="1" s="65">
      <c r="A71" s="59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1" t="n"/>
      <c r="K71" s="61" t="n"/>
      <c r="L71" s="61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0" t="n"/>
      <c r="AH71" s="60" t="n"/>
      <c r="AI71" s="60" t="n"/>
      <c r="AJ71" s="60" t="n"/>
      <c r="AK71" s="60" t="n"/>
      <c r="AL71" s="61" t="n"/>
      <c r="AM71" s="60" t="n"/>
      <c r="AN71" s="61" t="n"/>
    </row>
    <row r="72" ht="15.75" customHeight="1" s="65">
      <c r="A72" s="59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1" t="n"/>
      <c r="K72" s="61" t="n"/>
      <c r="L72" s="61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1" t="n"/>
      <c r="AM72" s="60" t="n"/>
      <c r="AN72" s="61" t="n"/>
    </row>
    <row r="73" ht="15.75" customHeight="1" s="65">
      <c r="A73" s="59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1" t="n"/>
      <c r="K73" s="61" t="n"/>
      <c r="L73" s="61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  <c r="AA73" s="60" t="n"/>
      <c r="AB73" s="60" t="n"/>
      <c r="AC73" s="60" t="n"/>
      <c r="AD73" s="60" t="n"/>
      <c r="AE73" s="60" t="n"/>
      <c r="AF73" s="60" t="n"/>
      <c r="AG73" s="60" t="n"/>
      <c r="AH73" s="60" t="n"/>
      <c r="AI73" s="60" t="n"/>
      <c r="AJ73" s="60" t="n"/>
      <c r="AK73" s="60" t="n"/>
      <c r="AL73" s="61" t="n"/>
      <c r="AM73" s="60" t="n"/>
      <c r="AN73" s="61" t="n"/>
    </row>
    <row r="74" ht="15.75" customHeight="1" s="65">
      <c r="A74" s="59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1" t="n"/>
      <c r="K74" s="61" t="n"/>
      <c r="L74" s="61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  <c r="AF74" s="60" t="n"/>
      <c r="AG74" s="60" t="n"/>
      <c r="AH74" s="60" t="n"/>
      <c r="AI74" s="60" t="n"/>
      <c r="AJ74" s="60" t="n"/>
      <c r="AK74" s="60" t="n"/>
      <c r="AL74" s="61" t="n"/>
      <c r="AM74" s="60" t="n"/>
      <c r="AN74" s="61" t="n"/>
    </row>
    <row r="75" ht="15.75" customHeight="1" s="65">
      <c r="A75" s="59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1" t="n"/>
      <c r="K75" s="61" t="n"/>
      <c r="L75" s="61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  <c r="AF75" s="60" t="n"/>
      <c r="AG75" s="60" t="n"/>
      <c r="AH75" s="60" t="n"/>
      <c r="AI75" s="60" t="n"/>
      <c r="AJ75" s="60" t="n"/>
      <c r="AK75" s="60" t="n"/>
      <c r="AL75" s="61" t="n"/>
      <c r="AM75" s="60" t="n"/>
      <c r="AN75" s="61" t="n"/>
    </row>
    <row r="76" ht="15.75" customHeight="1" s="65">
      <c r="A76" s="59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1" t="n"/>
      <c r="K76" s="61" t="n"/>
      <c r="L76" s="61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  <c r="AA76" s="60" t="n"/>
      <c r="AB76" s="60" t="n"/>
      <c r="AC76" s="60" t="n"/>
      <c r="AD76" s="60" t="n"/>
      <c r="AE76" s="60" t="n"/>
      <c r="AF76" s="60" t="n"/>
      <c r="AG76" s="60" t="n"/>
      <c r="AH76" s="60" t="n"/>
      <c r="AI76" s="60" t="n"/>
      <c r="AJ76" s="60" t="n"/>
      <c r="AK76" s="60" t="n"/>
      <c r="AL76" s="61" t="n"/>
      <c r="AM76" s="60" t="n"/>
      <c r="AN76" s="61" t="n"/>
    </row>
    <row r="77" ht="15.75" customHeight="1" s="65">
      <c r="A77" s="59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1" t="n"/>
      <c r="K77" s="61" t="n"/>
      <c r="L77" s="61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  <c r="AA77" s="60" t="n"/>
      <c r="AB77" s="60" t="n"/>
      <c r="AC77" s="60" t="n"/>
      <c r="AD77" s="60" t="n"/>
      <c r="AE77" s="60" t="n"/>
      <c r="AF77" s="60" t="n"/>
      <c r="AG77" s="60" t="n"/>
      <c r="AH77" s="60" t="n"/>
      <c r="AI77" s="60" t="n"/>
      <c r="AJ77" s="60" t="n"/>
      <c r="AK77" s="60" t="n"/>
      <c r="AL77" s="61" t="n"/>
      <c r="AM77" s="60" t="n"/>
      <c r="AN77" s="61" t="n"/>
    </row>
    <row r="78" ht="15.75" customHeight="1" s="65">
      <c r="A78" s="59" t="n"/>
      <c r="B78" s="60" t="n"/>
      <c r="C78" s="60" t="n"/>
      <c r="D78" s="60" t="n"/>
      <c r="E78" s="60" t="n"/>
      <c r="F78" s="60" t="n"/>
      <c r="G78" s="60" t="n"/>
      <c r="H78" s="60" t="n"/>
      <c r="I78" s="60" t="n"/>
      <c r="J78" s="61" t="n"/>
      <c r="K78" s="61" t="n"/>
      <c r="L78" s="61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  <c r="AI78" s="60" t="n"/>
      <c r="AJ78" s="60" t="n"/>
      <c r="AK78" s="60" t="n"/>
      <c r="AL78" s="61" t="n"/>
      <c r="AM78" s="60" t="n"/>
      <c r="AN78" s="61" t="n"/>
    </row>
    <row r="79" ht="15.75" customHeight="1" s="65">
      <c r="A79" s="59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1" t="n"/>
      <c r="K79" s="61" t="n"/>
      <c r="L79" s="61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  <c r="AA79" s="60" t="n"/>
      <c r="AB79" s="60" t="n"/>
      <c r="AC79" s="60" t="n"/>
      <c r="AD79" s="60" t="n"/>
      <c r="AE79" s="60" t="n"/>
      <c r="AF79" s="60" t="n"/>
      <c r="AG79" s="60" t="n"/>
      <c r="AH79" s="60" t="n"/>
      <c r="AI79" s="60" t="n"/>
      <c r="AJ79" s="60" t="n"/>
      <c r="AK79" s="60" t="n"/>
      <c r="AL79" s="61" t="n"/>
      <c r="AM79" s="60" t="n"/>
      <c r="AN79" s="61" t="n"/>
    </row>
    <row r="80" ht="15.75" customHeight="1" s="65">
      <c r="A80" s="59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1" t="n"/>
      <c r="K80" s="61" t="n"/>
      <c r="L80" s="61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1" t="n"/>
      <c r="AM80" s="60" t="n"/>
      <c r="AN80" s="61" t="n"/>
    </row>
    <row r="81" ht="15.75" customHeight="1" s="65">
      <c r="A81" s="59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1" t="n"/>
      <c r="K81" s="61" t="n"/>
      <c r="L81" s="61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1" t="n"/>
      <c r="AM81" s="60" t="n"/>
      <c r="AN81" s="61" t="n"/>
    </row>
    <row r="82" ht="15.75" customHeight="1" s="65">
      <c r="A82" s="59" t="n"/>
      <c r="B82" s="60" t="n"/>
      <c r="C82" s="60" t="n"/>
      <c r="D82" s="60" t="n"/>
      <c r="E82" s="60" t="n"/>
      <c r="F82" s="60" t="n"/>
      <c r="G82" s="60" t="n"/>
      <c r="H82" s="60" t="n"/>
      <c r="I82" s="60" t="n"/>
      <c r="J82" s="61" t="n"/>
      <c r="K82" s="61" t="n"/>
      <c r="L82" s="61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  <c r="AA82" s="60" t="n"/>
      <c r="AB82" s="60" t="n"/>
      <c r="AC82" s="60" t="n"/>
      <c r="AD82" s="60" t="n"/>
      <c r="AE82" s="60" t="n"/>
      <c r="AF82" s="60" t="n"/>
      <c r="AG82" s="60" t="n"/>
      <c r="AH82" s="60" t="n"/>
      <c r="AI82" s="60" t="n"/>
      <c r="AJ82" s="60" t="n"/>
      <c r="AK82" s="60" t="n"/>
      <c r="AL82" s="61" t="n"/>
      <c r="AM82" s="60" t="n"/>
      <c r="AN82" s="61" t="n"/>
    </row>
    <row r="83" ht="15.75" customHeight="1" s="65">
      <c r="A83" s="59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1" t="n"/>
      <c r="K83" s="61" t="n"/>
      <c r="L83" s="61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  <c r="AA83" s="60" t="n"/>
      <c r="AB83" s="60" t="n"/>
      <c r="AC83" s="60" t="n"/>
      <c r="AD83" s="60" t="n"/>
      <c r="AE83" s="60" t="n"/>
      <c r="AF83" s="60" t="n"/>
      <c r="AG83" s="60" t="n"/>
      <c r="AH83" s="60" t="n"/>
      <c r="AI83" s="60" t="n"/>
      <c r="AJ83" s="60" t="n"/>
      <c r="AK83" s="60" t="n"/>
      <c r="AL83" s="61" t="n"/>
      <c r="AM83" s="60" t="n"/>
      <c r="AN83" s="61" t="n"/>
    </row>
    <row r="84" ht="15.75" customHeight="1" s="65">
      <c r="A84" s="59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1" t="n"/>
      <c r="K84" s="61" t="n"/>
      <c r="L84" s="61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60" t="n"/>
      <c r="AC84" s="60" t="n"/>
      <c r="AD84" s="60" t="n"/>
      <c r="AE84" s="60" t="n"/>
      <c r="AF84" s="60" t="n"/>
      <c r="AG84" s="60" t="n"/>
      <c r="AH84" s="60" t="n"/>
      <c r="AI84" s="60" t="n"/>
      <c r="AJ84" s="60" t="n"/>
      <c r="AK84" s="60" t="n"/>
      <c r="AL84" s="61" t="n"/>
      <c r="AM84" s="60" t="n"/>
      <c r="AN84" s="61" t="n"/>
    </row>
    <row r="85" ht="15.75" customHeight="1" s="65">
      <c r="A85" s="59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1" t="n"/>
      <c r="K85" s="61" t="n"/>
      <c r="L85" s="61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60" t="n"/>
      <c r="AC85" s="60" t="n"/>
      <c r="AD85" s="60" t="n"/>
      <c r="AE85" s="60" t="n"/>
      <c r="AF85" s="60" t="n"/>
      <c r="AG85" s="60" t="n"/>
      <c r="AH85" s="60" t="n"/>
      <c r="AI85" s="60" t="n"/>
      <c r="AJ85" s="60" t="n"/>
      <c r="AK85" s="60" t="n"/>
      <c r="AL85" s="61" t="n"/>
      <c r="AM85" s="60" t="n"/>
      <c r="AN85" s="61" t="n"/>
    </row>
    <row r="86" ht="15.75" customHeight="1" s="65">
      <c r="A86" s="59" t="n"/>
      <c r="B86" s="60" t="n"/>
      <c r="C86" s="60" t="n"/>
      <c r="D86" s="60" t="n"/>
      <c r="E86" s="60" t="n"/>
      <c r="F86" s="60" t="n"/>
      <c r="G86" s="60" t="n"/>
      <c r="H86" s="60" t="n"/>
      <c r="I86" s="60" t="n"/>
      <c r="J86" s="61" t="n"/>
      <c r="K86" s="61" t="n"/>
      <c r="L86" s="61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60" t="n"/>
      <c r="AC86" s="60" t="n"/>
      <c r="AD86" s="60" t="n"/>
      <c r="AE86" s="60" t="n"/>
      <c r="AF86" s="60" t="n"/>
      <c r="AG86" s="60" t="n"/>
      <c r="AH86" s="60" t="n"/>
      <c r="AI86" s="60" t="n"/>
      <c r="AJ86" s="60" t="n"/>
      <c r="AK86" s="60" t="n"/>
      <c r="AL86" s="61" t="n"/>
      <c r="AM86" s="60" t="n"/>
      <c r="AN86" s="61" t="n"/>
    </row>
    <row r="87" ht="15.75" customHeight="1" s="65">
      <c r="A87" s="59" t="n"/>
      <c r="B87" s="60" t="n"/>
      <c r="C87" s="60" t="n"/>
      <c r="D87" s="60" t="n"/>
      <c r="E87" s="60" t="n"/>
      <c r="F87" s="60" t="n"/>
      <c r="G87" s="60" t="n"/>
      <c r="H87" s="60" t="n"/>
      <c r="I87" s="60" t="n"/>
      <c r="J87" s="61" t="n"/>
      <c r="K87" s="61" t="n"/>
      <c r="L87" s="61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60" t="n"/>
      <c r="AC87" s="60" t="n"/>
      <c r="AD87" s="60" t="n"/>
      <c r="AE87" s="60" t="n"/>
      <c r="AF87" s="60" t="n"/>
      <c r="AG87" s="60" t="n"/>
      <c r="AH87" s="60" t="n"/>
      <c r="AI87" s="60" t="n"/>
      <c r="AJ87" s="60" t="n"/>
      <c r="AK87" s="60" t="n"/>
      <c r="AL87" s="61" t="n"/>
      <c r="AM87" s="60" t="n"/>
      <c r="AN87" s="61" t="n"/>
    </row>
    <row r="88" ht="15.75" customHeight="1" s="65">
      <c r="A88" s="59" t="n"/>
      <c r="B88" s="60" t="n"/>
      <c r="C88" s="60" t="n"/>
      <c r="D88" s="60" t="n"/>
      <c r="E88" s="60" t="n"/>
      <c r="F88" s="60" t="n"/>
      <c r="G88" s="60" t="n"/>
      <c r="H88" s="60" t="n"/>
      <c r="I88" s="60" t="n"/>
      <c r="J88" s="61" t="n"/>
      <c r="K88" s="61" t="n"/>
      <c r="L88" s="61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1" t="n"/>
      <c r="AM88" s="60" t="n"/>
      <c r="AN88" s="61" t="n"/>
    </row>
    <row r="89" ht="15.75" customHeight="1" s="65">
      <c r="A89" s="59" t="n"/>
      <c r="B89" s="60" t="n"/>
      <c r="C89" s="60" t="n"/>
      <c r="D89" s="60" t="n"/>
      <c r="E89" s="60" t="n"/>
      <c r="F89" s="60" t="n"/>
      <c r="G89" s="60" t="n"/>
      <c r="H89" s="60" t="n"/>
      <c r="I89" s="60" t="n"/>
      <c r="J89" s="61" t="n"/>
      <c r="K89" s="61" t="n"/>
      <c r="L89" s="61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60" t="n"/>
      <c r="AC89" s="60" t="n"/>
      <c r="AD89" s="60" t="n"/>
      <c r="AE89" s="60" t="n"/>
      <c r="AF89" s="60" t="n"/>
      <c r="AG89" s="60" t="n"/>
      <c r="AH89" s="60" t="n"/>
      <c r="AI89" s="60" t="n"/>
      <c r="AJ89" s="60" t="n"/>
      <c r="AK89" s="60" t="n"/>
      <c r="AL89" s="61" t="n"/>
      <c r="AM89" s="60" t="n"/>
      <c r="AN89" s="61" t="n"/>
    </row>
    <row r="90" ht="15.75" customHeight="1" s="65">
      <c r="A90" s="59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1" t="n"/>
      <c r="K90" s="61" t="n"/>
      <c r="L90" s="61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1" t="n"/>
      <c r="AM90" s="60" t="n"/>
      <c r="AN90" s="61" t="n"/>
    </row>
    <row r="91" ht="15.75" customHeight="1" s="65">
      <c r="A91" s="59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1" t="n"/>
      <c r="K91" s="61" t="n"/>
      <c r="L91" s="61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60" t="n"/>
      <c r="AC91" s="60" t="n"/>
      <c r="AD91" s="60" t="n"/>
      <c r="AE91" s="60" t="n"/>
      <c r="AF91" s="60" t="n"/>
      <c r="AG91" s="60" t="n"/>
      <c r="AH91" s="60" t="n"/>
      <c r="AI91" s="60" t="n"/>
      <c r="AJ91" s="60" t="n"/>
      <c r="AK91" s="60" t="n"/>
      <c r="AL91" s="61" t="n"/>
      <c r="AM91" s="60" t="n"/>
      <c r="AN91" s="61" t="n"/>
    </row>
    <row r="92" ht="15.75" customHeight="1" s="65">
      <c r="A92" s="59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1" t="n"/>
      <c r="K92" s="61" t="n"/>
      <c r="L92" s="61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60" t="n"/>
      <c r="AG92" s="60" t="n"/>
      <c r="AH92" s="60" t="n"/>
      <c r="AI92" s="60" t="n"/>
      <c r="AJ92" s="60" t="n"/>
      <c r="AK92" s="60" t="n"/>
      <c r="AL92" s="61" t="n"/>
      <c r="AM92" s="60" t="n"/>
      <c r="AN92" s="61" t="n"/>
    </row>
    <row r="93" ht="15.75" customHeight="1" s="65">
      <c r="A93" s="59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1" t="n"/>
      <c r="K93" s="61" t="n"/>
      <c r="L93" s="61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60" t="n"/>
      <c r="AG93" s="60" t="n"/>
      <c r="AH93" s="60" t="n"/>
      <c r="AI93" s="60" t="n"/>
      <c r="AJ93" s="60" t="n"/>
      <c r="AK93" s="60" t="n"/>
      <c r="AL93" s="61" t="n"/>
      <c r="AM93" s="60" t="n"/>
      <c r="AN93" s="61" t="n"/>
    </row>
    <row r="94" ht="15.75" customHeight="1" s="65">
      <c r="A94" s="59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1" t="n"/>
      <c r="K94" s="61" t="n"/>
      <c r="L94" s="61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0" t="n"/>
      <c r="AI94" s="60" t="n"/>
      <c r="AJ94" s="60" t="n"/>
      <c r="AK94" s="60" t="n"/>
      <c r="AL94" s="61" t="n"/>
      <c r="AM94" s="60" t="n"/>
      <c r="AN94" s="61" t="n"/>
    </row>
    <row r="95" ht="15.75" customHeight="1" s="65">
      <c r="A95" s="59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1" t="n"/>
      <c r="K95" s="61" t="n"/>
      <c r="L95" s="61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60" t="n"/>
      <c r="AG95" s="60" t="n"/>
      <c r="AH95" s="60" t="n"/>
      <c r="AI95" s="60" t="n"/>
      <c r="AJ95" s="60" t="n"/>
      <c r="AK95" s="60" t="n"/>
      <c r="AL95" s="61" t="n"/>
      <c r="AM95" s="60" t="n"/>
      <c r="AN95" s="61" t="n"/>
    </row>
    <row r="96" ht="15.75" customHeight="1" s="65">
      <c r="A96" s="59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1" t="n"/>
      <c r="K96" s="61" t="n"/>
      <c r="L96" s="61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60" t="n"/>
      <c r="AC96" s="60" t="n"/>
      <c r="AD96" s="60" t="n"/>
      <c r="AE96" s="60" t="n"/>
      <c r="AF96" s="60" t="n"/>
      <c r="AG96" s="60" t="n"/>
      <c r="AH96" s="60" t="n"/>
      <c r="AI96" s="60" t="n"/>
      <c r="AJ96" s="60" t="n"/>
      <c r="AK96" s="60" t="n"/>
      <c r="AL96" s="61" t="n"/>
      <c r="AM96" s="60" t="n"/>
      <c r="AN96" s="61" t="n"/>
    </row>
    <row r="97" ht="15.75" customHeight="1" s="65">
      <c r="A97" s="59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1" t="n"/>
      <c r="K97" s="61" t="n"/>
      <c r="L97" s="61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60" t="n"/>
      <c r="AC97" s="60" t="n"/>
      <c r="AD97" s="60" t="n"/>
      <c r="AE97" s="60" t="n"/>
      <c r="AF97" s="60" t="n"/>
      <c r="AG97" s="60" t="n"/>
      <c r="AH97" s="60" t="n"/>
      <c r="AI97" s="60" t="n"/>
      <c r="AJ97" s="60" t="n"/>
      <c r="AK97" s="60" t="n"/>
      <c r="AL97" s="61" t="n"/>
      <c r="AM97" s="60" t="n"/>
      <c r="AN97" s="61" t="n"/>
    </row>
    <row r="98" ht="15.75" customHeight="1" s="65">
      <c r="A98" s="59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1" t="n"/>
      <c r="K98" s="61" t="n"/>
      <c r="L98" s="61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  <c r="AI98" s="60" t="n"/>
      <c r="AJ98" s="60" t="n"/>
      <c r="AK98" s="60" t="n"/>
      <c r="AL98" s="61" t="n"/>
      <c r="AM98" s="60" t="n"/>
      <c r="AN98" s="61" t="n"/>
    </row>
    <row r="99" ht="15.75" customHeight="1" s="65">
      <c r="A99" s="59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1" t="n"/>
      <c r="K99" s="61" t="n"/>
      <c r="L99" s="61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  <c r="AA99" s="60" t="n"/>
      <c r="AB99" s="60" t="n"/>
      <c r="AC99" s="60" t="n"/>
      <c r="AD99" s="60" t="n"/>
      <c r="AE99" s="60" t="n"/>
      <c r="AF99" s="60" t="n"/>
      <c r="AG99" s="60" t="n"/>
      <c r="AH99" s="60" t="n"/>
      <c r="AI99" s="60" t="n"/>
      <c r="AJ99" s="60" t="n"/>
      <c r="AK99" s="60" t="n"/>
      <c r="AL99" s="61" t="n"/>
      <c r="AM99" s="60" t="n"/>
      <c r="AN99" s="61" t="n"/>
    </row>
    <row r="100" ht="15.75" customHeight="1" s="65">
      <c r="A100" s="59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1" t="n"/>
      <c r="K100" s="61" t="n"/>
      <c r="L100" s="61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1" t="n"/>
      <c r="AM100" s="60" t="n"/>
      <c r="AN100" s="61" t="n"/>
    </row>
    <row r="101" ht="15.75" customHeight="1" s="65">
      <c r="A101" s="59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1" t="n"/>
      <c r="K101" s="61" t="n"/>
      <c r="L101" s="61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  <c r="AA101" s="60" t="n"/>
      <c r="AB101" s="60" t="n"/>
      <c r="AC101" s="60" t="n"/>
      <c r="AD101" s="60" t="n"/>
      <c r="AE101" s="60" t="n"/>
      <c r="AF101" s="60" t="n"/>
      <c r="AG101" s="60" t="n"/>
      <c r="AH101" s="60" t="n"/>
      <c r="AI101" s="60" t="n"/>
      <c r="AJ101" s="60" t="n"/>
      <c r="AK101" s="60" t="n"/>
      <c r="AL101" s="61" t="n"/>
      <c r="AM101" s="60" t="n"/>
      <c r="AN101" s="61" t="n"/>
    </row>
    <row r="102" ht="15.75" customHeight="1" s="65">
      <c r="A102" s="59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1" t="n"/>
      <c r="K102" s="61" t="n"/>
      <c r="L102" s="61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  <c r="AI102" s="60" t="n"/>
      <c r="AJ102" s="60" t="n"/>
      <c r="AK102" s="60" t="n"/>
      <c r="AL102" s="61" t="n"/>
      <c r="AM102" s="60" t="n"/>
      <c r="AN102" s="61" t="n"/>
    </row>
    <row r="103" ht="15.75" customHeight="1" s="65">
      <c r="A103" s="59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1" t="n"/>
      <c r="K103" s="61" t="n"/>
      <c r="L103" s="61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60" t="n"/>
      <c r="AC103" s="60" t="n"/>
      <c r="AD103" s="60" t="n"/>
      <c r="AE103" s="60" t="n"/>
      <c r="AF103" s="60" t="n"/>
      <c r="AG103" s="60" t="n"/>
      <c r="AH103" s="60" t="n"/>
      <c r="AI103" s="60" t="n"/>
      <c r="AJ103" s="60" t="n"/>
      <c r="AK103" s="60" t="n"/>
      <c r="AL103" s="61" t="n"/>
      <c r="AM103" s="60" t="n"/>
      <c r="AN103" s="61" t="n"/>
    </row>
    <row r="104" ht="15.75" customHeight="1" s="65">
      <c r="A104" s="59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1" t="n"/>
      <c r="K104" s="61" t="n"/>
      <c r="L104" s="61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1" t="n"/>
      <c r="AM104" s="60" t="n"/>
      <c r="AN104" s="61" t="n"/>
    </row>
    <row r="105" ht="15.75" customHeight="1" s="65">
      <c r="A105" s="59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1" t="n"/>
      <c r="K105" s="61" t="n"/>
      <c r="L105" s="61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60" t="n"/>
      <c r="AC105" s="60" t="n"/>
      <c r="AD105" s="60" t="n"/>
      <c r="AE105" s="60" t="n"/>
      <c r="AF105" s="60" t="n"/>
      <c r="AG105" s="60" t="n"/>
      <c r="AH105" s="60" t="n"/>
      <c r="AI105" s="60" t="n"/>
      <c r="AJ105" s="60" t="n"/>
      <c r="AK105" s="60" t="n"/>
      <c r="AL105" s="61" t="n"/>
      <c r="AM105" s="60" t="n"/>
      <c r="AN105" s="61" t="n"/>
    </row>
    <row r="106" ht="15.75" customHeight="1" s="65">
      <c r="A106" s="62" t="n"/>
      <c r="D106" s="63" t="n"/>
      <c r="E106" s="63" t="n"/>
      <c r="F106" s="63" t="n"/>
      <c r="G106" s="63" t="n"/>
      <c r="H106" s="63" t="n"/>
      <c r="I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3" t="n"/>
      <c r="AB106" s="63" t="n"/>
      <c r="AC106" s="63" t="n"/>
      <c r="AD106" s="63" t="n"/>
      <c r="AE106" s="63" t="n"/>
      <c r="AF106" s="63" t="n"/>
      <c r="AG106" s="63" t="n"/>
      <c r="AH106" s="63" t="n"/>
      <c r="AI106" s="63" t="n"/>
      <c r="AJ106" s="63" t="n"/>
      <c r="AK106" s="63" t="n"/>
      <c r="AM106" s="63" t="n"/>
    </row>
    <row r="107" ht="15.75" customHeight="1" s="65">
      <c r="A107" s="62" t="n"/>
      <c r="D107" s="63" t="n"/>
      <c r="E107" s="63" t="n"/>
      <c r="F107" s="63" t="n"/>
      <c r="G107" s="63" t="n"/>
      <c r="H107" s="63" t="n"/>
      <c r="I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3" t="n"/>
      <c r="AM107" s="63" t="n"/>
    </row>
    <row r="108" ht="15.75" customHeight="1" s="65">
      <c r="A108" s="62" t="n"/>
      <c r="D108" s="63" t="n"/>
      <c r="E108" s="63" t="n"/>
      <c r="F108" s="63" t="n"/>
      <c r="G108" s="63" t="n"/>
      <c r="H108" s="63" t="n"/>
      <c r="I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63" t="n"/>
      <c r="AE108" s="63" t="n"/>
      <c r="AF108" s="63" t="n"/>
      <c r="AG108" s="63" t="n"/>
      <c r="AH108" s="63" t="n"/>
      <c r="AI108" s="63" t="n"/>
      <c r="AJ108" s="63" t="n"/>
      <c r="AK108" s="63" t="n"/>
      <c r="AM108" s="63" t="n"/>
    </row>
    <row r="109" ht="15.75" customHeight="1" s="65">
      <c r="A109" s="62" t="n"/>
      <c r="D109" s="63" t="n"/>
      <c r="E109" s="63" t="n"/>
      <c r="F109" s="63" t="n"/>
      <c r="G109" s="63" t="n"/>
      <c r="H109" s="63" t="n"/>
      <c r="I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n"/>
      <c r="AF109" s="63" t="n"/>
      <c r="AG109" s="63" t="n"/>
      <c r="AH109" s="63" t="n"/>
      <c r="AI109" s="63" t="n"/>
      <c r="AJ109" s="63" t="n"/>
      <c r="AK109" s="63" t="n"/>
      <c r="AM109" s="63" t="n"/>
    </row>
    <row r="110" ht="15.75" customHeight="1" s="65">
      <c r="A110" s="62" t="n"/>
      <c r="D110" s="63" t="n"/>
      <c r="E110" s="63" t="n"/>
      <c r="F110" s="63" t="n"/>
      <c r="G110" s="63" t="n"/>
      <c r="H110" s="63" t="n"/>
      <c r="I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63" t="n"/>
      <c r="AE110" s="63" t="n"/>
      <c r="AF110" s="63" t="n"/>
      <c r="AG110" s="63" t="n"/>
      <c r="AH110" s="63" t="n"/>
      <c r="AI110" s="63" t="n"/>
      <c r="AJ110" s="63" t="n"/>
      <c r="AK110" s="63" t="n"/>
      <c r="AM110" s="63" t="n"/>
    </row>
    <row r="111" ht="15.75" customHeight="1" s="65">
      <c r="A111" s="62" t="n"/>
      <c r="D111" s="63" t="n"/>
      <c r="E111" s="63" t="n"/>
      <c r="F111" s="63" t="n"/>
      <c r="G111" s="63" t="n"/>
      <c r="H111" s="63" t="n"/>
      <c r="I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n"/>
      <c r="AF111" s="63" t="n"/>
      <c r="AG111" s="63" t="n"/>
      <c r="AH111" s="63" t="n"/>
      <c r="AI111" s="63" t="n"/>
      <c r="AJ111" s="63" t="n"/>
      <c r="AK111" s="63" t="n"/>
      <c r="AM111" s="63" t="n"/>
    </row>
    <row r="112" ht="15.75" customHeight="1" s="65">
      <c r="A112" s="62" t="n"/>
      <c r="D112" s="63" t="n"/>
      <c r="E112" s="63" t="n"/>
      <c r="F112" s="63" t="n"/>
      <c r="G112" s="63" t="n"/>
      <c r="H112" s="63" t="n"/>
      <c r="I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  <c r="AC112" s="63" t="n"/>
      <c r="AD112" s="63" t="n"/>
      <c r="AE112" s="63" t="n"/>
      <c r="AF112" s="63" t="n"/>
      <c r="AG112" s="63" t="n"/>
      <c r="AH112" s="63" t="n"/>
      <c r="AI112" s="63" t="n"/>
      <c r="AJ112" s="63" t="n"/>
      <c r="AK112" s="63" t="n"/>
      <c r="AM112" s="63" t="n"/>
    </row>
    <row r="113" ht="15.75" customHeight="1" s="65">
      <c r="A113" s="62" t="n"/>
      <c r="D113" s="63" t="n"/>
      <c r="E113" s="63" t="n"/>
      <c r="F113" s="63" t="n"/>
      <c r="G113" s="63" t="n"/>
      <c r="H113" s="63" t="n"/>
      <c r="I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3" t="n"/>
      <c r="AM113" s="63" t="n"/>
    </row>
    <row r="114" ht="15.75" customHeight="1" s="65">
      <c r="A114" s="62" t="n"/>
      <c r="D114" s="63" t="n"/>
      <c r="E114" s="63" t="n"/>
      <c r="F114" s="63" t="n"/>
      <c r="G114" s="63" t="n"/>
      <c r="H114" s="63" t="n"/>
      <c r="I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63" t="n"/>
      <c r="AE114" s="63" t="n"/>
      <c r="AF114" s="63" t="n"/>
      <c r="AG114" s="63" t="n"/>
      <c r="AH114" s="63" t="n"/>
      <c r="AI114" s="63" t="n"/>
      <c r="AJ114" s="63" t="n"/>
      <c r="AK114" s="63" t="n"/>
      <c r="AM114" s="63" t="n"/>
    </row>
    <row r="115" ht="15.75" customHeight="1" s="65">
      <c r="A115" s="62" t="n"/>
      <c r="D115" s="63" t="n"/>
      <c r="E115" s="63" t="n"/>
      <c r="F115" s="63" t="n"/>
      <c r="G115" s="63" t="n"/>
      <c r="H115" s="63" t="n"/>
      <c r="I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n"/>
      <c r="AF115" s="63" t="n"/>
      <c r="AG115" s="63" t="n"/>
      <c r="AH115" s="63" t="n"/>
      <c r="AI115" s="63" t="n"/>
      <c r="AJ115" s="63" t="n"/>
      <c r="AK115" s="63" t="n"/>
      <c r="AM115" s="63" t="n"/>
    </row>
    <row r="116" ht="15.75" customHeight="1" s="65">
      <c r="A116" s="62" t="n"/>
      <c r="D116" s="63" t="n"/>
      <c r="E116" s="63" t="n"/>
      <c r="F116" s="63" t="n"/>
      <c r="G116" s="63" t="n"/>
      <c r="H116" s="63" t="n"/>
      <c r="I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  <c r="AC116" s="63" t="n"/>
      <c r="AD116" s="63" t="n"/>
      <c r="AE116" s="63" t="n"/>
      <c r="AF116" s="63" t="n"/>
      <c r="AG116" s="63" t="n"/>
      <c r="AH116" s="63" t="n"/>
      <c r="AI116" s="63" t="n"/>
      <c r="AJ116" s="63" t="n"/>
      <c r="AK116" s="63" t="n"/>
      <c r="AM116" s="63" t="n"/>
    </row>
    <row r="117" ht="15.75" customHeight="1" s="65">
      <c r="A117" s="62" t="n"/>
      <c r="D117" s="63" t="n"/>
      <c r="E117" s="63" t="n"/>
      <c r="F117" s="63" t="n"/>
      <c r="G117" s="63" t="n"/>
      <c r="H117" s="63" t="n"/>
      <c r="I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n"/>
      <c r="AF117" s="63" t="n"/>
      <c r="AG117" s="63" t="n"/>
      <c r="AH117" s="63" t="n"/>
      <c r="AI117" s="63" t="n"/>
      <c r="AJ117" s="63" t="n"/>
      <c r="AK117" s="63" t="n"/>
      <c r="AM117" s="63" t="n"/>
    </row>
    <row r="118" ht="15.75" customHeight="1" s="65">
      <c r="A118" s="62" t="n"/>
      <c r="D118" s="63" t="n"/>
      <c r="E118" s="63" t="n"/>
      <c r="F118" s="63" t="n"/>
      <c r="G118" s="63" t="n"/>
      <c r="H118" s="63" t="n"/>
      <c r="I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  <c r="AC118" s="63" t="n"/>
      <c r="AD118" s="63" t="n"/>
      <c r="AE118" s="63" t="n"/>
      <c r="AF118" s="63" t="n"/>
      <c r="AG118" s="63" t="n"/>
      <c r="AH118" s="63" t="n"/>
      <c r="AI118" s="63" t="n"/>
      <c r="AJ118" s="63" t="n"/>
      <c r="AK118" s="63" t="n"/>
      <c r="AM118" s="63" t="n"/>
    </row>
    <row r="119" ht="15.75" customHeight="1" s="65">
      <c r="A119" s="62" t="n"/>
      <c r="D119" s="63" t="n"/>
      <c r="E119" s="63" t="n"/>
      <c r="F119" s="63" t="n"/>
      <c r="G119" s="63" t="n"/>
      <c r="H119" s="63" t="n"/>
      <c r="I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63" t="n"/>
      <c r="AE119" s="63" t="n"/>
      <c r="AF119" s="63" t="n"/>
      <c r="AG119" s="63" t="n"/>
      <c r="AH119" s="63" t="n"/>
      <c r="AI119" s="63" t="n"/>
      <c r="AJ119" s="63" t="n"/>
      <c r="AK119" s="63" t="n"/>
      <c r="AM119" s="63" t="n"/>
    </row>
    <row r="120" ht="15.75" customHeight="1" s="65">
      <c r="A120" s="62" t="n"/>
      <c r="D120" s="63" t="n"/>
      <c r="E120" s="63" t="n"/>
      <c r="F120" s="63" t="n"/>
      <c r="G120" s="63" t="n"/>
      <c r="H120" s="63" t="n"/>
      <c r="I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63" t="n"/>
      <c r="AE120" s="63" t="n"/>
      <c r="AF120" s="63" t="n"/>
      <c r="AG120" s="63" t="n"/>
      <c r="AH120" s="63" t="n"/>
      <c r="AI120" s="63" t="n"/>
      <c r="AJ120" s="63" t="n"/>
      <c r="AK120" s="63" t="n"/>
      <c r="AM120" s="63" t="n"/>
    </row>
    <row r="121" ht="15.75" customHeight="1" s="65">
      <c r="A121" s="62" t="n"/>
      <c r="D121" s="63" t="n"/>
      <c r="E121" s="63" t="n"/>
      <c r="F121" s="63" t="n"/>
      <c r="G121" s="63" t="n"/>
      <c r="H121" s="63" t="n"/>
      <c r="I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n"/>
      <c r="AF121" s="63" t="n"/>
      <c r="AG121" s="63" t="n"/>
      <c r="AH121" s="63" t="n"/>
      <c r="AI121" s="63" t="n"/>
      <c r="AJ121" s="63" t="n"/>
      <c r="AK121" s="63" t="n"/>
      <c r="AM121" s="63" t="n"/>
    </row>
    <row r="122" ht="15.75" customHeight="1" s="65">
      <c r="A122" s="62" t="n"/>
      <c r="D122" s="63" t="n"/>
      <c r="E122" s="63" t="n"/>
      <c r="F122" s="63" t="n"/>
      <c r="G122" s="63" t="n"/>
      <c r="H122" s="63" t="n"/>
      <c r="I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63" t="n"/>
      <c r="AE122" s="63" t="n"/>
      <c r="AF122" s="63" t="n"/>
      <c r="AG122" s="63" t="n"/>
      <c r="AH122" s="63" t="n"/>
      <c r="AI122" s="63" t="n"/>
      <c r="AJ122" s="63" t="n"/>
      <c r="AK122" s="63" t="n"/>
      <c r="AM122" s="63" t="n"/>
    </row>
    <row r="123" ht="15.75" customHeight="1" s="65">
      <c r="A123" s="62" t="n"/>
      <c r="D123" s="63" t="n"/>
      <c r="E123" s="63" t="n"/>
      <c r="F123" s="63" t="n"/>
      <c r="G123" s="63" t="n"/>
      <c r="H123" s="63" t="n"/>
      <c r="I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63" t="n"/>
      <c r="AE123" s="63" t="n"/>
      <c r="AF123" s="63" t="n"/>
      <c r="AG123" s="63" t="n"/>
      <c r="AH123" s="63" t="n"/>
      <c r="AI123" s="63" t="n"/>
      <c r="AJ123" s="63" t="n"/>
      <c r="AK123" s="63" t="n"/>
      <c r="AM123" s="63" t="n"/>
    </row>
    <row r="124" ht="15.75" customHeight="1" s="65">
      <c r="A124" s="62" t="n"/>
      <c r="D124" s="63" t="n"/>
      <c r="E124" s="63" t="n"/>
      <c r="F124" s="63" t="n"/>
      <c r="G124" s="63" t="n"/>
      <c r="H124" s="63" t="n"/>
      <c r="I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  <c r="AC124" s="63" t="n"/>
      <c r="AD124" s="63" t="n"/>
      <c r="AE124" s="63" t="n"/>
      <c r="AF124" s="63" t="n"/>
      <c r="AG124" s="63" t="n"/>
      <c r="AH124" s="63" t="n"/>
      <c r="AI124" s="63" t="n"/>
      <c r="AJ124" s="63" t="n"/>
      <c r="AK124" s="63" t="n"/>
      <c r="AM124" s="63" t="n"/>
    </row>
    <row r="125" ht="15.75" customHeight="1" s="65">
      <c r="A125" s="62" t="n"/>
      <c r="D125" s="63" t="n"/>
      <c r="E125" s="63" t="n"/>
      <c r="F125" s="63" t="n"/>
      <c r="G125" s="63" t="n"/>
      <c r="H125" s="63" t="n"/>
      <c r="I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3" t="n"/>
      <c r="AM125" s="63" t="n"/>
    </row>
    <row r="126" ht="15.75" customHeight="1" s="65">
      <c r="A126" s="62" t="n"/>
      <c r="D126" s="63" t="n"/>
      <c r="E126" s="63" t="n"/>
      <c r="F126" s="63" t="n"/>
      <c r="G126" s="63" t="n"/>
      <c r="H126" s="63" t="n"/>
      <c r="I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63" t="n"/>
      <c r="AE126" s="63" t="n"/>
      <c r="AF126" s="63" t="n"/>
      <c r="AG126" s="63" t="n"/>
      <c r="AH126" s="63" t="n"/>
      <c r="AI126" s="63" t="n"/>
      <c r="AJ126" s="63" t="n"/>
      <c r="AK126" s="63" t="n"/>
      <c r="AM126" s="63" t="n"/>
    </row>
    <row r="127" ht="15.75" customHeight="1" s="65">
      <c r="A127" s="62" t="n"/>
      <c r="D127" s="63" t="n"/>
      <c r="E127" s="63" t="n"/>
      <c r="F127" s="63" t="n"/>
      <c r="G127" s="63" t="n"/>
      <c r="H127" s="63" t="n"/>
      <c r="I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3" t="n"/>
      <c r="AE127" s="63" t="n"/>
      <c r="AF127" s="63" t="n"/>
      <c r="AG127" s="63" t="n"/>
      <c r="AH127" s="63" t="n"/>
      <c r="AI127" s="63" t="n"/>
      <c r="AJ127" s="63" t="n"/>
      <c r="AK127" s="63" t="n"/>
      <c r="AM127" s="63" t="n"/>
    </row>
    <row r="128" ht="15.75" customHeight="1" s="65">
      <c r="A128" s="62" t="n"/>
      <c r="D128" s="63" t="n"/>
      <c r="E128" s="63" t="n"/>
      <c r="F128" s="63" t="n"/>
      <c r="G128" s="63" t="n"/>
      <c r="H128" s="63" t="n"/>
      <c r="I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3" t="n"/>
      <c r="AE128" s="63" t="n"/>
      <c r="AF128" s="63" t="n"/>
      <c r="AG128" s="63" t="n"/>
      <c r="AH128" s="63" t="n"/>
      <c r="AI128" s="63" t="n"/>
      <c r="AJ128" s="63" t="n"/>
      <c r="AK128" s="63" t="n"/>
      <c r="AM128" s="63" t="n"/>
    </row>
    <row r="129" ht="15.75" customHeight="1" s="65">
      <c r="A129" s="62" t="n"/>
      <c r="D129" s="63" t="n"/>
      <c r="E129" s="63" t="n"/>
      <c r="F129" s="63" t="n"/>
      <c r="G129" s="63" t="n"/>
      <c r="H129" s="63" t="n"/>
      <c r="I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63" t="n"/>
      <c r="AE129" s="63" t="n"/>
      <c r="AF129" s="63" t="n"/>
      <c r="AG129" s="63" t="n"/>
      <c r="AH129" s="63" t="n"/>
      <c r="AI129" s="63" t="n"/>
      <c r="AJ129" s="63" t="n"/>
      <c r="AK129" s="63" t="n"/>
      <c r="AM129" s="63" t="n"/>
    </row>
    <row r="130" ht="15.75" customHeight="1" s="65">
      <c r="A130" s="62" t="n"/>
      <c r="D130" s="63" t="n"/>
      <c r="E130" s="63" t="n"/>
      <c r="F130" s="63" t="n"/>
      <c r="G130" s="63" t="n"/>
      <c r="H130" s="63" t="n"/>
      <c r="I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63" t="n"/>
      <c r="AE130" s="63" t="n"/>
      <c r="AF130" s="63" t="n"/>
      <c r="AG130" s="63" t="n"/>
      <c r="AH130" s="63" t="n"/>
      <c r="AI130" s="63" t="n"/>
      <c r="AJ130" s="63" t="n"/>
      <c r="AK130" s="63" t="n"/>
      <c r="AM130" s="63" t="n"/>
    </row>
    <row r="131" ht="15.75" customHeight="1" s="65">
      <c r="A131" s="62" t="n"/>
      <c r="D131" s="63" t="n"/>
      <c r="E131" s="63" t="n"/>
      <c r="F131" s="63" t="n"/>
      <c r="G131" s="63" t="n"/>
      <c r="H131" s="63" t="n"/>
      <c r="I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3" t="n"/>
      <c r="AM131" s="63" t="n"/>
    </row>
    <row r="132" ht="15.75" customHeight="1" s="65">
      <c r="A132" s="62" t="n"/>
      <c r="D132" s="63" t="n"/>
      <c r="E132" s="63" t="n"/>
      <c r="F132" s="63" t="n"/>
      <c r="G132" s="63" t="n"/>
      <c r="H132" s="63" t="n"/>
      <c r="I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63" t="n"/>
      <c r="AE132" s="63" t="n"/>
      <c r="AF132" s="63" t="n"/>
      <c r="AG132" s="63" t="n"/>
      <c r="AH132" s="63" t="n"/>
      <c r="AI132" s="63" t="n"/>
      <c r="AJ132" s="63" t="n"/>
      <c r="AK132" s="63" t="n"/>
      <c r="AM132" s="63" t="n"/>
    </row>
    <row r="133" ht="15.75" customHeight="1" s="65">
      <c r="A133" s="62" t="n"/>
      <c r="D133" s="63" t="n"/>
      <c r="E133" s="63" t="n"/>
      <c r="F133" s="63" t="n"/>
      <c r="G133" s="63" t="n"/>
      <c r="H133" s="63" t="n"/>
      <c r="I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n"/>
      <c r="AF133" s="63" t="n"/>
      <c r="AG133" s="63" t="n"/>
      <c r="AH133" s="63" t="n"/>
      <c r="AI133" s="63" t="n"/>
      <c r="AJ133" s="63" t="n"/>
      <c r="AK133" s="63" t="n"/>
      <c r="AM133" s="63" t="n"/>
    </row>
    <row r="134" ht="15.75" customHeight="1" s="65">
      <c r="A134" s="62" t="n"/>
      <c r="D134" s="63" t="n"/>
      <c r="E134" s="63" t="n"/>
      <c r="F134" s="63" t="n"/>
      <c r="G134" s="63" t="n"/>
      <c r="H134" s="63" t="n"/>
      <c r="I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63" t="n"/>
      <c r="AE134" s="63" t="n"/>
      <c r="AF134" s="63" t="n"/>
      <c r="AG134" s="63" t="n"/>
      <c r="AH134" s="63" t="n"/>
      <c r="AI134" s="63" t="n"/>
      <c r="AJ134" s="63" t="n"/>
      <c r="AK134" s="63" t="n"/>
      <c r="AM134" s="63" t="n"/>
    </row>
    <row r="135" ht="15.75" customHeight="1" s="65">
      <c r="A135" s="62" t="n"/>
      <c r="D135" s="63" t="n"/>
      <c r="E135" s="63" t="n"/>
      <c r="F135" s="63" t="n"/>
      <c r="G135" s="63" t="n"/>
      <c r="H135" s="63" t="n"/>
      <c r="I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  <c r="AC135" s="63" t="n"/>
      <c r="AD135" s="63" t="n"/>
      <c r="AE135" s="63" t="n"/>
      <c r="AF135" s="63" t="n"/>
      <c r="AG135" s="63" t="n"/>
      <c r="AH135" s="63" t="n"/>
      <c r="AI135" s="63" t="n"/>
      <c r="AJ135" s="63" t="n"/>
      <c r="AK135" s="63" t="n"/>
      <c r="AM135" s="63" t="n"/>
    </row>
    <row r="136" ht="15.75" customHeight="1" s="65">
      <c r="A136" s="62" t="n"/>
      <c r="D136" s="63" t="n"/>
      <c r="E136" s="63" t="n"/>
      <c r="F136" s="63" t="n"/>
      <c r="G136" s="63" t="n"/>
      <c r="H136" s="63" t="n"/>
      <c r="I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63" t="n"/>
      <c r="AE136" s="63" t="n"/>
      <c r="AF136" s="63" t="n"/>
      <c r="AG136" s="63" t="n"/>
      <c r="AH136" s="63" t="n"/>
      <c r="AI136" s="63" t="n"/>
      <c r="AJ136" s="63" t="n"/>
      <c r="AK136" s="63" t="n"/>
      <c r="AM136" s="63" t="n"/>
    </row>
    <row r="137" ht="15.75" customHeight="1" s="65">
      <c r="A137" s="62" t="n"/>
      <c r="D137" s="63" t="n"/>
      <c r="E137" s="63" t="n"/>
      <c r="F137" s="63" t="n"/>
      <c r="G137" s="63" t="n"/>
      <c r="H137" s="63" t="n"/>
      <c r="I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3" t="n"/>
      <c r="AM137" s="63" t="n"/>
    </row>
    <row r="138" ht="15.75" customHeight="1" s="65">
      <c r="A138" s="62" t="n"/>
      <c r="D138" s="63" t="n"/>
      <c r="E138" s="63" t="n"/>
      <c r="F138" s="63" t="n"/>
      <c r="G138" s="63" t="n"/>
      <c r="H138" s="63" t="n"/>
      <c r="I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  <c r="AC138" s="63" t="n"/>
      <c r="AD138" s="63" t="n"/>
      <c r="AE138" s="63" t="n"/>
      <c r="AF138" s="63" t="n"/>
      <c r="AG138" s="63" t="n"/>
      <c r="AH138" s="63" t="n"/>
      <c r="AI138" s="63" t="n"/>
      <c r="AJ138" s="63" t="n"/>
      <c r="AK138" s="63" t="n"/>
      <c r="AM138" s="63" t="n"/>
    </row>
    <row r="139" ht="15.75" customHeight="1" s="65">
      <c r="A139" s="62" t="n"/>
      <c r="D139" s="63" t="n"/>
      <c r="E139" s="63" t="n"/>
      <c r="F139" s="63" t="n"/>
      <c r="G139" s="63" t="n"/>
      <c r="H139" s="63" t="n"/>
      <c r="I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63" t="n"/>
      <c r="AE139" s="63" t="n"/>
      <c r="AF139" s="63" t="n"/>
      <c r="AG139" s="63" t="n"/>
      <c r="AH139" s="63" t="n"/>
      <c r="AI139" s="63" t="n"/>
      <c r="AJ139" s="63" t="n"/>
      <c r="AK139" s="63" t="n"/>
      <c r="AM139" s="63" t="n"/>
    </row>
    <row r="140" ht="15.75" customHeight="1" s="65">
      <c r="A140" s="62" t="n"/>
      <c r="D140" s="63" t="n"/>
      <c r="E140" s="63" t="n"/>
      <c r="F140" s="63" t="n"/>
      <c r="G140" s="63" t="n"/>
      <c r="H140" s="63" t="n"/>
      <c r="I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63" t="n"/>
      <c r="AE140" s="63" t="n"/>
      <c r="AF140" s="63" t="n"/>
      <c r="AG140" s="63" t="n"/>
      <c r="AH140" s="63" t="n"/>
      <c r="AI140" s="63" t="n"/>
      <c r="AJ140" s="63" t="n"/>
      <c r="AK140" s="63" t="n"/>
      <c r="AM140" s="63" t="n"/>
    </row>
    <row r="141" ht="15.75" customHeight="1" s="65">
      <c r="A141" s="62" t="n"/>
      <c r="D141" s="63" t="n"/>
      <c r="E141" s="63" t="n"/>
      <c r="F141" s="63" t="n"/>
      <c r="G141" s="63" t="n"/>
      <c r="H141" s="63" t="n"/>
      <c r="I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63" t="n"/>
      <c r="AE141" s="63" t="n"/>
      <c r="AF141" s="63" t="n"/>
      <c r="AG141" s="63" t="n"/>
      <c r="AH141" s="63" t="n"/>
      <c r="AI141" s="63" t="n"/>
      <c r="AJ141" s="63" t="n"/>
      <c r="AK141" s="63" t="n"/>
      <c r="AM141" s="63" t="n"/>
    </row>
    <row r="142" ht="15.75" customHeight="1" s="65">
      <c r="A142" s="62" t="n"/>
      <c r="D142" s="63" t="n"/>
      <c r="E142" s="63" t="n"/>
      <c r="F142" s="63" t="n"/>
      <c r="G142" s="63" t="n"/>
      <c r="H142" s="63" t="n"/>
      <c r="I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63" t="n"/>
      <c r="AE142" s="63" t="n"/>
      <c r="AF142" s="63" t="n"/>
      <c r="AG142" s="63" t="n"/>
      <c r="AH142" s="63" t="n"/>
      <c r="AI142" s="63" t="n"/>
      <c r="AJ142" s="63" t="n"/>
      <c r="AK142" s="63" t="n"/>
      <c r="AM142" s="63" t="n"/>
    </row>
    <row r="143" ht="15.75" customHeight="1" s="65">
      <c r="A143" s="62" t="n"/>
      <c r="D143" s="63" t="n"/>
      <c r="E143" s="63" t="n"/>
      <c r="F143" s="63" t="n"/>
      <c r="G143" s="63" t="n"/>
      <c r="H143" s="63" t="n"/>
      <c r="I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3" t="n"/>
      <c r="AM143" s="63" t="n"/>
    </row>
    <row r="144" ht="15.75" customHeight="1" s="65">
      <c r="A144" s="62" t="n"/>
      <c r="D144" s="63" t="n"/>
      <c r="E144" s="63" t="n"/>
      <c r="F144" s="63" t="n"/>
      <c r="G144" s="63" t="n"/>
      <c r="H144" s="63" t="n"/>
      <c r="I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63" t="n"/>
      <c r="AE144" s="63" t="n"/>
      <c r="AF144" s="63" t="n"/>
      <c r="AG144" s="63" t="n"/>
      <c r="AH144" s="63" t="n"/>
      <c r="AI144" s="63" t="n"/>
      <c r="AJ144" s="63" t="n"/>
      <c r="AK144" s="63" t="n"/>
      <c r="AM144" s="63" t="n"/>
    </row>
    <row r="145" ht="15.75" customHeight="1" s="65">
      <c r="A145" s="62" t="n"/>
      <c r="D145" s="63" t="n"/>
      <c r="E145" s="63" t="n"/>
      <c r="F145" s="63" t="n"/>
      <c r="G145" s="63" t="n"/>
      <c r="H145" s="63" t="n"/>
      <c r="I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63" t="n"/>
      <c r="AE145" s="63" t="n"/>
      <c r="AF145" s="63" t="n"/>
      <c r="AG145" s="63" t="n"/>
      <c r="AH145" s="63" t="n"/>
      <c r="AI145" s="63" t="n"/>
      <c r="AJ145" s="63" t="n"/>
      <c r="AK145" s="63" t="n"/>
      <c r="AM145" s="63" t="n"/>
    </row>
    <row r="146" ht="15.75" customHeight="1" s="65">
      <c r="A146" s="62" t="n"/>
      <c r="D146" s="63" t="n"/>
      <c r="E146" s="63" t="n"/>
      <c r="F146" s="63" t="n"/>
      <c r="G146" s="63" t="n"/>
      <c r="H146" s="63" t="n"/>
      <c r="I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63" t="n"/>
      <c r="AE146" s="63" t="n"/>
      <c r="AF146" s="63" t="n"/>
      <c r="AG146" s="63" t="n"/>
      <c r="AH146" s="63" t="n"/>
      <c r="AI146" s="63" t="n"/>
      <c r="AJ146" s="63" t="n"/>
      <c r="AK146" s="63" t="n"/>
      <c r="AM146" s="63" t="n"/>
    </row>
    <row r="147" ht="15.75" customHeight="1" s="65">
      <c r="A147" s="62" t="n"/>
      <c r="D147" s="63" t="n"/>
      <c r="E147" s="63" t="n"/>
      <c r="F147" s="63" t="n"/>
      <c r="G147" s="63" t="n"/>
      <c r="H147" s="63" t="n"/>
      <c r="I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n"/>
      <c r="AF147" s="63" t="n"/>
      <c r="AG147" s="63" t="n"/>
      <c r="AH147" s="63" t="n"/>
      <c r="AI147" s="63" t="n"/>
      <c r="AJ147" s="63" t="n"/>
      <c r="AK147" s="63" t="n"/>
      <c r="AM147" s="63" t="n"/>
    </row>
    <row r="148" ht="15.75" customHeight="1" s="65">
      <c r="A148" s="62" t="n"/>
      <c r="D148" s="63" t="n"/>
      <c r="E148" s="63" t="n"/>
      <c r="F148" s="63" t="n"/>
      <c r="G148" s="63" t="n"/>
      <c r="H148" s="63" t="n"/>
      <c r="I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  <c r="AC148" s="63" t="n"/>
      <c r="AD148" s="63" t="n"/>
      <c r="AE148" s="63" t="n"/>
      <c r="AF148" s="63" t="n"/>
      <c r="AG148" s="63" t="n"/>
      <c r="AH148" s="63" t="n"/>
      <c r="AI148" s="63" t="n"/>
      <c r="AJ148" s="63" t="n"/>
      <c r="AK148" s="63" t="n"/>
      <c r="AM148" s="63" t="n"/>
    </row>
    <row r="149" ht="15.75" customHeight="1" s="65">
      <c r="A149" s="62" t="n"/>
      <c r="D149" s="63" t="n"/>
      <c r="E149" s="63" t="n"/>
      <c r="F149" s="63" t="n"/>
      <c r="G149" s="63" t="n"/>
      <c r="H149" s="63" t="n"/>
      <c r="I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3" t="n"/>
      <c r="AM149" s="63" t="n"/>
    </row>
    <row r="150" ht="15.75" customHeight="1" s="65">
      <c r="A150" s="62" t="n"/>
      <c r="D150" s="63" t="n"/>
      <c r="E150" s="63" t="n"/>
      <c r="F150" s="63" t="n"/>
      <c r="G150" s="63" t="n"/>
      <c r="H150" s="63" t="n"/>
      <c r="I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  <c r="AC150" s="63" t="n"/>
      <c r="AD150" s="63" t="n"/>
      <c r="AE150" s="63" t="n"/>
      <c r="AF150" s="63" t="n"/>
      <c r="AG150" s="63" t="n"/>
      <c r="AH150" s="63" t="n"/>
      <c r="AI150" s="63" t="n"/>
      <c r="AJ150" s="63" t="n"/>
      <c r="AK150" s="63" t="n"/>
      <c r="AM150" s="63" t="n"/>
    </row>
    <row r="151" ht="15.75" customHeight="1" s="65">
      <c r="A151" s="62" t="n"/>
      <c r="D151" s="63" t="n"/>
      <c r="E151" s="63" t="n"/>
      <c r="F151" s="63" t="n"/>
      <c r="G151" s="63" t="n"/>
      <c r="H151" s="63" t="n"/>
      <c r="I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  <c r="AI151" s="63" t="n"/>
      <c r="AJ151" s="63" t="n"/>
      <c r="AK151" s="63" t="n"/>
      <c r="AM151" s="63" t="n"/>
    </row>
    <row r="152" ht="15.75" customHeight="1" s="65">
      <c r="A152" s="62" t="n"/>
      <c r="D152" s="63" t="n"/>
      <c r="E152" s="63" t="n"/>
      <c r="F152" s="63" t="n"/>
      <c r="G152" s="63" t="n"/>
      <c r="H152" s="63" t="n"/>
      <c r="I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63" t="n"/>
      <c r="AE152" s="63" t="n"/>
      <c r="AF152" s="63" t="n"/>
      <c r="AG152" s="63" t="n"/>
      <c r="AH152" s="63" t="n"/>
      <c r="AI152" s="63" t="n"/>
      <c r="AJ152" s="63" t="n"/>
      <c r="AK152" s="63" t="n"/>
      <c r="AM152" s="63" t="n"/>
    </row>
    <row r="153" ht="15.75" customHeight="1" s="65">
      <c r="A153" s="62" t="n"/>
      <c r="D153" s="63" t="n"/>
      <c r="E153" s="63" t="n"/>
      <c r="F153" s="63" t="n"/>
      <c r="G153" s="63" t="n"/>
      <c r="H153" s="63" t="n"/>
      <c r="I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  <c r="AC153" s="63" t="n"/>
      <c r="AD153" s="63" t="n"/>
      <c r="AE153" s="63" t="n"/>
      <c r="AF153" s="63" t="n"/>
      <c r="AG153" s="63" t="n"/>
      <c r="AH153" s="63" t="n"/>
      <c r="AI153" s="63" t="n"/>
      <c r="AJ153" s="63" t="n"/>
      <c r="AK153" s="63" t="n"/>
      <c r="AM153" s="63" t="n"/>
    </row>
    <row r="154" ht="15.75" customHeight="1" s="65">
      <c r="A154" s="62" t="n"/>
      <c r="D154" s="63" t="n"/>
      <c r="E154" s="63" t="n"/>
      <c r="F154" s="63" t="n"/>
      <c r="G154" s="63" t="n"/>
      <c r="H154" s="63" t="n"/>
      <c r="I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3" t="n"/>
      <c r="AB154" s="63" t="n"/>
      <c r="AC154" s="63" t="n"/>
      <c r="AD154" s="63" t="n"/>
      <c r="AE154" s="63" t="n"/>
      <c r="AF154" s="63" t="n"/>
      <c r="AG154" s="63" t="n"/>
      <c r="AH154" s="63" t="n"/>
      <c r="AI154" s="63" t="n"/>
      <c r="AJ154" s="63" t="n"/>
      <c r="AK154" s="63" t="n"/>
      <c r="AM154" s="63" t="n"/>
    </row>
    <row r="155" ht="15.75" customHeight="1" s="65">
      <c r="A155" s="62" t="n"/>
      <c r="D155" s="63" t="n"/>
      <c r="E155" s="63" t="n"/>
      <c r="F155" s="63" t="n"/>
      <c r="G155" s="63" t="n"/>
      <c r="H155" s="63" t="n"/>
      <c r="I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63" t="n"/>
      <c r="AE155" s="63" t="n"/>
      <c r="AF155" s="63" t="n"/>
      <c r="AG155" s="63" t="n"/>
      <c r="AH155" s="63" t="n"/>
      <c r="AI155" s="63" t="n"/>
      <c r="AJ155" s="63" t="n"/>
      <c r="AK155" s="63" t="n"/>
      <c r="AM155" s="63" t="n"/>
    </row>
    <row r="156" ht="15.75" customHeight="1" s="65">
      <c r="A156" s="62" t="n"/>
      <c r="D156" s="63" t="n"/>
      <c r="E156" s="63" t="n"/>
      <c r="F156" s="63" t="n"/>
      <c r="G156" s="63" t="n"/>
      <c r="H156" s="63" t="n"/>
      <c r="I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  <c r="AC156" s="63" t="n"/>
      <c r="AD156" s="63" t="n"/>
      <c r="AE156" s="63" t="n"/>
      <c r="AF156" s="63" t="n"/>
      <c r="AG156" s="63" t="n"/>
      <c r="AH156" s="63" t="n"/>
      <c r="AI156" s="63" t="n"/>
      <c r="AJ156" s="63" t="n"/>
      <c r="AK156" s="63" t="n"/>
      <c r="AM156" s="63" t="n"/>
    </row>
    <row r="157" ht="15.75" customHeight="1" s="65">
      <c r="A157" s="62" t="n"/>
      <c r="D157" s="63" t="n"/>
      <c r="E157" s="63" t="n"/>
      <c r="F157" s="63" t="n"/>
      <c r="G157" s="63" t="n"/>
      <c r="H157" s="63" t="n"/>
      <c r="I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63" t="n"/>
      <c r="AE157" s="63" t="n"/>
      <c r="AF157" s="63" t="n"/>
      <c r="AG157" s="63" t="n"/>
      <c r="AH157" s="63" t="n"/>
      <c r="AI157" s="63" t="n"/>
      <c r="AJ157" s="63" t="n"/>
      <c r="AK157" s="63" t="n"/>
      <c r="AM157" s="63" t="n"/>
    </row>
    <row r="158" ht="15.75" customHeight="1" s="65">
      <c r="A158" s="62" t="n"/>
      <c r="D158" s="63" t="n"/>
      <c r="E158" s="63" t="n"/>
      <c r="F158" s="63" t="n"/>
      <c r="G158" s="63" t="n"/>
      <c r="H158" s="63" t="n"/>
      <c r="I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63" t="n"/>
      <c r="AE158" s="63" t="n"/>
      <c r="AF158" s="63" t="n"/>
      <c r="AG158" s="63" t="n"/>
      <c r="AH158" s="63" t="n"/>
      <c r="AI158" s="63" t="n"/>
      <c r="AJ158" s="63" t="n"/>
      <c r="AK158" s="63" t="n"/>
      <c r="AM158" s="63" t="n"/>
    </row>
    <row r="159" ht="15.75" customHeight="1" s="65">
      <c r="A159" s="62" t="n"/>
      <c r="D159" s="63" t="n"/>
      <c r="E159" s="63" t="n"/>
      <c r="F159" s="63" t="n"/>
      <c r="G159" s="63" t="n"/>
      <c r="H159" s="63" t="n"/>
      <c r="I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n"/>
      <c r="AF159" s="63" t="n"/>
      <c r="AG159" s="63" t="n"/>
      <c r="AH159" s="63" t="n"/>
      <c r="AI159" s="63" t="n"/>
      <c r="AJ159" s="63" t="n"/>
      <c r="AK159" s="63" t="n"/>
      <c r="AM159" s="63" t="n"/>
    </row>
    <row r="160" ht="15.75" customHeight="1" s="65">
      <c r="A160" s="62" t="n"/>
      <c r="D160" s="63" t="n"/>
      <c r="E160" s="63" t="n"/>
      <c r="F160" s="63" t="n"/>
      <c r="G160" s="63" t="n"/>
      <c r="H160" s="63" t="n"/>
      <c r="I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63" t="n"/>
      <c r="AE160" s="63" t="n"/>
      <c r="AF160" s="63" t="n"/>
      <c r="AG160" s="63" t="n"/>
      <c r="AH160" s="63" t="n"/>
      <c r="AI160" s="63" t="n"/>
      <c r="AJ160" s="63" t="n"/>
      <c r="AK160" s="63" t="n"/>
      <c r="AM160" s="63" t="n"/>
    </row>
    <row r="161" ht="15.75" customHeight="1" s="65">
      <c r="A161" s="62" t="n"/>
      <c r="D161" s="63" t="n"/>
      <c r="E161" s="63" t="n"/>
      <c r="F161" s="63" t="n"/>
      <c r="G161" s="63" t="n"/>
      <c r="H161" s="63" t="n"/>
      <c r="I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3" t="n"/>
      <c r="AM161" s="63" t="n"/>
    </row>
    <row r="162" ht="15.75" customHeight="1" s="65">
      <c r="A162" s="62" t="n"/>
      <c r="D162" s="63" t="n"/>
      <c r="E162" s="63" t="n"/>
      <c r="F162" s="63" t="n"/>
      <c r="G162" s="63" t="n"/>
      <c r="H162" s="63" t="n"/>
      <c r="I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63" t="n"/>
      <c r="AE162" s="63" t="n"/>
      <c r="AF162" s="63" t="n"/>
      <c r="AG162" s="63" t="n"/>
      <c r="AH162" s="63" t="n"/>
      <c r="AI162" s="63" t="n"/>
      <c r="AJ162" s="63" t="n"/>
      <c r="AK162" s="63" t="n"/>
      <c r="AM162" s="63" t="n"/>
    </row>
    <row r="163" ht="15.75" customHeight="1" s="65">
      <c r="A163" s="62" t="n"/>
      <c r="D163" s="63" t="n"/>
      <c r="E163" s="63" t="n"/>
      <c r="F163" s="63" t="n"/>
      <c r="G163" s="63" t="n"/>
      <c r="H163" s="63" t="n"/>
      <c r="I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n"/>
      <c r="AF163" s="63" t="n"/>
      <c r="AG163" s="63" t="n"/>
      <c r="AH163" s="63" t="n"/>
      <c r="AI163" s="63" t="n"/>
      <c r="AJ163" s="63" t="n"/>
      <c r="AK163" s="63" t="n"/>
      <c r="AM163" s="63" t="n"/>
    </row>
    <row r="164" ht="15.75" customHeight="1" s="65">
      <c r="A164" s="62" t="n"/>
      <c r="D164" s="63" t="n"/>
      <c r="E164" s="63" t="n"/>
      <c r="F164" s="63" t="n"/>
      <c r="G164" s="63" t="n"/>
      <c r="H164" s="63" t="n"/>
      <c r="I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63" t="n"/>
      <c r="AE164" s="63" t="n"/>
      <c r="AF164" s="63" t="n"/>
      <c r="AG164" s="63" t="n"/>
      <c r="AH164" s="63" t="n"/>
      <c r="AI164" s="63" t="n"/>
      <c r="AJ164" s="63" t="n"/>
      <c r="AK164" s="63" t="n"/>
      <c r="AM164" s="63" t="n"/>
    </row>
    <row r="165" ht="15.75" customHeight="1" s="65">
      <c r="A165" s="62" t="n"/>
      <c r="D165" s="63" t="n"/>
      <c r="E165" s="63" t="n"/>
      <c r="F165" s="63" t="n"/>
      <c r="G165" s="63" t="n"/>
      <c r="H165" s="63" t="n"/>
      <c r="I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n"/>
      <c r="AF165" s="63" t="n"/>
      <c r="AG165" s="63" t="n"/>
      <c r="AH165" s="63" t="n"/>
      <c r="AI165" s="63" t="n"/>
      <c r="AJ165" s="63" t="n"/>
      <c r="AK165" s="63" t="n"/>
      <c r="AM165" s="63" t="n"/>
    </row>
    <row r="166" ht="15.75" customHeight="1" s="65">
      <c r="A166" s="62" t="n"/>
      <c r="D166" s="63" t="n"/>
      <c r="E166" s="63" t="n"/>
      <c r="F166" s="63" t="n"/>
      <c r="G166" s="63" t="n"/>
      <c r="H166" s="63" t="n"/>
      <c r="I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63" t="n"/>
      <c r="AE166" s="63" t="n"/>
      <c r="AF166" s="63" t="n"/>
      <c r="AG166" s="63" t="n"/>
      <c r="AH166" s="63" t="n"/>
      <c r="AI166" s="63" t="n"/>
      <c r="AJ166" s="63" t="n"/>
      <c r="AK166" s="63" t="n"/>
      <c r="AM166" s="63" t="n"/>
    </row>
    <row r="167" ht="15.75" customHeight="1" s="65">
      <c r="A167" s="62" t="n"/>
      <c r="D167" s="63" t="n"/>
      <c r="E167" s="63" t="n"/>
      <c r="F167" s="63" t="n"/>
      <c r="G167" s="63" t="n"/>
      <c r="H167" s="63" t="n"/>
      <c r="I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3" t="n"/>
      <c r="AM167" s="63" t="n"/>
    </row>
    <row r="168" ht="15.75" customHeight="1" s="65">
      <c r="A168" s="62" t="n"/>
      <c r="D168" s="63" t="n"/>
      <c r="E168" s="63" t="n"/>
      <c r="F168" s="63" t="n"/>
      <c r="G168" s="63" t="n"/>
      <c r="H168" s="63" t="n"/>
      <c r="I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63" t="n"/>
      <c r="AE168" s="63" t="n"/>
      <c r="AF168" s="63" t="n"/>
      <c r="AG168" s="63" t="n"/>
      <c r="AH168" s="63" t="n"/>
      <c r="AI168" s="63" t="n"/>
      <c r="AJ168" s="63" t="n"/>
      <c r="AK168" s="63" t="n"/>
      <c r="AM168" s="63" t="n"/>
    </row>
    <row r="169" ht="15.75" customHeight="1" s="65">
      <c r="A169" s="62" t="n"/>
      <c r="D169" s="63" t="n"/>
      <c r="E169" s="63" t="n"/>
      <c r="F169" s="63" t="n"/>
      <c r="G169" s="63" t="n"/>
      <c r="H169" s="63" t="n"/>
      <c r="I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n"/>
      <c r="AF169" s="63" t="n"/>
      <c r="AG169" s="63" t="n"/>
      <c r="AH169" s="63" t="n"/>
      <c r="AI169" s="63" t="n"/>
      <c r="AJ169" s="63" t="n"/>
      <c r="AK169" s="63" t="n"/>
      <c r="AM169" s="63" t="n"/>
    </row>
    <row r="170" ht="15.75" customHeight="1" s="65">
      <c r="A170" s="62" t="n"/>
      <c r="D170" s="63" t="n"/>
      <c r="E170" s="63" t="n"/>
      <c r="F170" s="63" t="n"/>
      <c r="G170" s="63" t="n"/>
      <c r="H170" s="63" t="n"/>
      <c r="I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63" t="n"/>
      <c r="AE170" s="63" t="n"/>
      <c r="AF170" s="63" t="n"/>
      <c r="AG170" s="63" t="n"/>
      <c r="AH170" s="63" t="n"/>
      <c r="AI170" s="63" t="n"/>
      <c r="AJ170" s="63" t="n"/>
      <c r="AK170" s="63" t="n"/>
      <c r="AM170" s="63" t="n"/>
    </row>
    <row r="171" ht="15.75" customHeight="1" s="65">
      <c r="A171" s="62" t="n"/>
      <c r="D171" s="63" t="n"/>
      <c r="E171" s="63" t="n"/>
      <c r="F171" s="63" t="n"/>
      <c r="G171" s="63" t="n"/>
      <c r="H171" s="63" t="n"/>
      <c r="I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63" t="n"/>
      <c r="AE171" s="63" t="n"/>
      <c r="AF171" s="63" t="n"/>
      <c r="AG171" s="63" t="n"/>
      <c r="AH171" s="63" t="n"/>
      <c r="AI171" s="63" t="n"/>
      <c r="AJ171" s="63" t="n"/>
      <c r="AK171" s="63" t="n"/>
      <c r="AM171" s="63" t="n"/>
    </row>
    <row r="172" ht="15.75" customHeight="1" s="65">
      <c r="A172" s="62" t="n"/>
      <c r="D172" s="63" t="n"/>
      <c r="E172" s="63" t="n"/>
      <c r="F172" s="63" t="n"/>
      <c r="G172" s="63" t="n"/>
      <c r="H172" s="63" t="n"/>
      <c r="I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63" t="n"/>
      <c r="AE172" s="63" t="n"/>
      <c r="AF172" s="63" t="n"/>
      <c r="AG172" s="63" t="n"/>
      <c r="AH172" s="63" t="n"/>
      <c r="AI172" s="63" t="n"/>
      <c r="AJ172" s="63" t="n"/>
      <c r="AK172" s="63" t="n"/>
      <c r="AM172" s="63" t="n"/>
    </row>
    <row r="173" ht="15.75" customHeight="1" s="65">
      <c r="A173" s="62" t="n"/>
      <c r="D173" s="63" t="n"/>
      <c r="E173" s="63" t="n"/>
      <c r="F173" s="63" t="n"/>
      <c r="G173" s="63" t="n"/>
      <c r="H173" s="63" t="n"/>
      <c r="I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3" t="n"/>
      <c r="AM173" s="63" t="n"/>
    </row>
    <row r="174" ht="15.75" customHeight="1" s="65">
      <c r="A174" s="62" t="n"/>
      <c r="D174" s="63" t="n"/>
      <c r="E174" s="63" t="n"/>
      <c r="F174" s="63" t="n"/>
      <c r="G174" s="63" t="n"/>
      <c r="H174" s="63" t="n"/>
      <c r="I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63" t="n"/>
      <c r="AE174" s="63" t="n"/>
      <c r="AF174" s="63" t="n"/>
      <c r="AG174" s="63" t="n"/>
      <c r="AH174" s="63" t="n"/>
      <c r="AI174" s="63" t="n"/>
      <c r="AJ174" s="63" t="n"/>
      <c r="AK174" s="63" t="n"/>
      <c r="AM174" s="63" t="n"/>
    </row>
    <row r="175" ht="15.75" customHeight="1" s="65">
      <c r="A175" s="62" t="n"/>
      <c r="D175" s="63" t="n"/>
      <c r="E175" s="63" t="n"/>
      <c r="F175" s="63" t="n"/>
      <c r="G175" s="63" t="n"/>
      <c r="H175" s="63" t="n"/>
      <c r="I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63" t="n"/>
      <c r="AE175" s="63" t="n"/>
      <c r="AF175" s="63" t="n"/>
      <c r="AG175" s="63" t="n"/>
      <c r="AH175" s="63" t="n"/>
      <c r="AI175" s="63" t="n"/>
      <c r="AJ175" s="63" t="n"/>
      <c r="AK175" s="63" t="n"/>
      <c r="AM175" s="63" t="n"/>
    </row>
    <row r="176" ht="15.75" customHeight="1" s="65">
      <c r="A176" s="62" t="n"/>
      <c r="D176" s="63" t="n"/>
      <c r="E176" s="63" t="n"/>
      <c r="F176" s="63" t="n"/>
      <c r="G176" s="63" t="n"/>
      <c r="H176" s="63" t="n"/>
      <c r="I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63" t="n"/>
      <c r="AE176" s="63" t="n"/>
      <c r="AF176" s="63" t="n"/>
      <c r="AG176" s="63" t="n"/>
      <c r="AH176" s="63" t="n"/>
      <c r="AI176" s="63" t="n"/>
      <c r="AJ176" s="63" t="n"/>
      <c r="AK176" s="63" t="n"/>
      <c r="AM176" s="63" t="n"/>
    </row>
    <row r="177" ht="15.75" customHeight="1" s="65">
      <c r="A177" s="62" t="n"/>
      <c r="D177" s="63" t="n"/>
      <c r="E177" s="63" t="n"/>
      <c r="F177" s="63" t="n"/>
      <c r="G177" s="63" t="n"/>
      <c r="H177" s="63" t="n"/>
      <c r="I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n"/>
      <c r="AF177" s="63" t="n"/>
      <c r="AG177" s="63" t="n"/>
      <c r="AH177" s="63" t="n"/>
      <c r="AI177" s="63" t="n"/>
      <c r="AJ177" s="63" t="n"/>
      <c r="AK177" s="63" t="n"/>
      <c r="AM177" s="63" t="n"/>
    </row>
    <row r="178" ht="15.75" customHeight="1" s="65">
      <c r="A178" s="62" t="n"/>
      <c r="D178" s="63" t="n"/>
      <c r="E178" s="63" t="n"/>
      <c r="F178" s="63" t="n"/>
      <c r="G178" s="63" t="n"/>
      <c r="H178" s="63" t="n"/>
      <c r="I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63" t="n"/>
      <c r="AE178" s="63" t="n"/>
      <c r="AF178" s="63" t="n"/>
      <c r="AG178" s="63" t="n"/>
      <c r="AH178" s="63" t="n"/>
      <c r="AI178" s="63" t="n"/>
      <c r="AJ178" s="63" t="n"/>
      <c r="AK178" s="63" t="n"/>
      <c r="AM178" s="63" t="n"/>
    </row>
    <row r="179" ht="15.75" customHeight="1" s="65">
      <c r="A179" s="62" t="n"/>
      <c r="D179" s="63" t="n"/>
      <c r="E179" s="63" t="n"/>
      <c r="F179" s="63" t="n"/>
      <c r="G179" s="63" t="n"/>
      <c r="H179" s="63" t="n"/>
      <c r="I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63" t="n"/>
      <c r="AE179" s="63" t="n"/>
      <c r="AF179" s="63" t="n"/>
      <c r="AG179" s="63" t="n"/>
      <c r="AH179" s="63" t="n"/>
      <c r="AI179" s="63" t="n"/>
      <c r="AJ179" s="63" t="n"/>
      <c r="AK179" s="63" t="n"/>
      <c r="AM179" s="63" t="n"/>
    </row>
    <row r="180" ht="15.75" customHeight="1" s="65">
      <c r="A180" s="62" t="n"/>
      <c r="D180" s="63" t="n"/>
      <c r="E180" s="63" t="n"/>
      <c r="F180" s="63" t="n"/>
      <c r="G180" s="63" t="n"/>
      <c r="H180" s="63" t="n"/>
      <c r="I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63" t="n"/>
      <c r="AE180" s="63" t="n"/>
      <c r="AF180" s="63" t="n"/>
      <c r="AG180" s="63" t="n"/>
      <c r="AH180" s="63" t="n"/>
      <c r="AI180" s="63" t="n"/>
      <c r="AJ180" s="63" t="n"/>
      <c r="AK180" s="63" t="n"/>
      <c r="AM180" s="63" t="n"/>
    </row>
    <row r="181" ht="15.75" customHeight="1" s="65">
      <c r="A181" s="62" t="n"/>
      <c r="D181" s="63" t="n"/>
      <c r="E181" s="63" t="n"/>
      <c r="F181" s="63" t="n"/>
      <c r="G181" s="63" t="n"/>
      <c r="H181" s="63" t="n"/>
      <c r="I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n"/>
      <c r="AF181" s="63" t="n"/>
      <c r="AG181" s="63" t="n"/>
      <c r="AH181" s="63" t="n"/>
      <c r="AI181" s="63" t="n"/>
      <c r="AJ181" s="63" t="n"/>
      <c r="AK181" s="63" t="n"/>
      <c r="AM181" s="63" t="n"/>
    </row>
    <row r="182" ht="15.75" customHeight="1" s="65">
      <c r="A182" s="62" t="n"/>
      <c r="D182" s="63" t="n"/>
      <c r="E182" s="63" t="n"/>
      <c r="F182" s="63" t="n"/>
      <c r="G182" s="63" t="n"/>
      <c r="H182" s="63" t="n"/>
      <c r="I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63" t="n"/>
      <c r="AE182" s="63" t="n"/>
      <c r="AF182" s="63" t="n"/>
      <c r="AG182" s="63" t="n"/>
      <c r="AH182" s="63" t="n"/>
      <c r="AI182" s="63" t="n"/>
      <c r="AJ182" s="63" t="n"/>
      <c r="AK182" s="63" t="n"/>
      <c r="AM182" s="63" t="n"/>
    </row>
    <row r="183" ht="15.75" customHeight="1" s="65">
      <c r="A183" s="62" t="n"/>
      <c r="D183" s="63" t="n"/>
      <c r="E183" s="63" t="n"/>
      <c r="F183" s="63" t="n"/>
      <c r="G183" s="63" t="n"/>
      <c r="H183" s="63" t="n"/>
      <c r="I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n"/>
      <c r="AF183" s="63" t="n"/>
      <c r="AG183" s="63" t="n"/>
      <c r="AH183" s="63" t="n"/>
      <c r="AI183" s="63" t="n"/>
      <c r="AJ183" s="63" t="n"/>
      <c r="AK183" s="63" t="n"/>
      <c r="AM183" s="63" t="n"/>
    </row>
    <row r="184" ht="15.75" customHeight="1" s="65">
      <c r="A184" s="62" t="n"/>
      <c r="D184" s="63" t="n"/>
      <c r="E184" s="63" t="n"/>
      <c r="F184" s="63" t="n"/>
      <c r="G184" s="63" t="n"/>
      <c r="H184" s="63" t="n"/>
      <c r="I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63" t="n"/>
      <c r="AE184" s="63" t="n"/>
      <c r="AF184" s="63" t="n"/>
      <c r="AG184" s="63" t="n"/>
      <c r="AH184" s="63" t="n"/>
      <c r="AI184" s="63" t="n"/>
      <c r="AJ184" s="63" t="n"/>
      <c r="AK184" s="63" t="n"/>
      <c r="AM184" s="63" t="n"/>
    </row>
    <row r="185" ht="15.75" customHeight="1" s="65">
      <c r="A185" s="62" t="n"/>
      <c r="D185" s="63" t="n"/>
      <c r="E185" s="63" t="n"/>
      <c r="F185" s="63" t="n"/>
      <c r="G185" s="63" t="n"/>
      <c r="H185" s="63" t="n"/>
      <c r="I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63" t="n"/>
      <c r="AE185" s="63" t="n"/>
      <c r="AF185" s="63" t="n"/>
      <c r="AG185" s="63" t="n"/>
      <c r="AH185" s="63" t="n"/>
      <c r="AI185" s="63" t="n"/>
      <c r="AJ185" s="63" t="n"/>
      <c r="AK185" s="63" t="n"/>
      <c r="AM185" s="63" t="n"/>
    </row>
    <row r="186" ht="15.75" customHeight="1" s="65">
      <c r="A186" s="62" t="n"/>
      <c r="D186" s="63" t="n"/>
      <c r="E186" s="63" t="n"/>
      <c r="F186" s="63" t="n"/>
      <c r="G186" s="63" t="n"/>
      <c r="H186" s="63" t="n"/>
      <c r="I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  <c r="AC186" s="63" t="n"/>
      <c r="AD186" s="63" t="n"/>
      <c r="AE186" s="63" t="n"/>
      <c r="AF186" s="63" t="n"/>
      <c r="AG186" s="63" t="n"/>
      <c r="AH186" s="63" t="n"/>
      <c r="AI186" s="63" t="n"/>
      <c r="AJ186" s="63" t="n"/>
      <c r="AK186" s="63" t="n"/>
      <c r="AM186" s="63" t="n"/>
    </row>
    <row r="187" ht="15.75" customHeight="1" s="65">
      <c r="A187" s="62" t="n"/>
      <c r="D187" s="63" t="n"/>
      <c r="E187" s="63" t="n"/>
      <c r="F187" s="63" t="n"/>
      <c r="G187" s="63" t="n"/>
      <c r="H187" s="63" t="n"/>
      <c r="I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63" t="n"/>
      <c r="AE187" s="63" t="n"/>
      <c r="AF187" s="63" t="n"/>
      <c r="AG187" s="63" t="n"/>
      <c r="AH187" s="63" t="n"/>
      <c r="AI187" s="63" t="n"/>
      <c r="AJ187" s="63" t="n"/>
      <c r="AK187" s="63" t="n"/>
      <c r="AM187" s="63" t="n"/>
    </row>
    <row r="188" ht="15.75" customHeight="1" s="65">
      <c r="A188" s="62" t="n"/>
      <c r="D188" s="63" t="n"/>
      <c r="E188" s="63" t="n"/>
      <c r="F188" s="63" t="n"/>
      <c r="G188" s="63" t="n"/>
      <c r="H188" s="63" t="n"/>
      <c r="I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63" t="n"/>
      <c r="AE188" s="63" t="n"/>
      <c r="AF188" s="63" t="n"/>
      <c r="AG188" s="63" t="n"/>
      <c r="AH188" s="63" t="n"/>
      <c r="AI188" s="63" t="n"/>
      <c r="AJ188" s="63" t="n"/>
      <c r="AK188" s="63" t="n"/>
      <c r="AM188" s="63" t="n"/>
    </row>
    <row r="189" ht="15.75" customHeight="1" s="65">
      <c r="A189" s="62" t="n"/>
      <c r="D189" s="63" t="n"/>
      <c r="E189" s="63" t="n"/>
      <c r="F189" s="63" t="n"/>
      <c r="G189" s="63" t="n"/>
      <c r="H189" s="63" t="n"/>
      <c r="I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n"/>
      <c r="AF189" s="63" t="n"/>
      <c r="AG189" s="63" t="n"/>
      <c r="AH189" s="63" t="n"/>
      <c r="AI189" s="63" t="n"/>
      <c r="AJ189" s="63" t="n"/>
      <c r="AK189" s="63" t="n"/>
      <c r="AM189" s="63" t="n"/>
    </row>
    <row r="190" ht="15.75" customHeight="1" s="65">
      <c r="A190" s="62" t="n"/>
      <c r="D190" s="63" t="n"/>
      <c r="E190" s="63" t="n"/>
      <c r="F190" s="63" t="n"/>
      <c r="G190" s="63" t="n"/>
      <c r="H190" s="63" t="n"/>
      <c r="I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63" t="n"/>
      <c r="AE190" s="63" t="n"/>
      <c r="AF190" s="63" t="n"/>
      <c r="AG190" s="63" t="n"/>
      <c r="AH190" s="63" t="n"/>
      <c r="AI190" s="63" t="n"/>
      <c r="AJ190" s="63" t="n"/>
      <c r="AK190" s="63" t="n"/>
      <c r="AM190" s="63" t="n"/>
    </row>
    <row r="191" ht="15.75" customHeight="1" s="65">
      <c r="A191" s="62" t="n"/>
      <c r="D191" s="63" t="n"/>
      <c r="E191" s="63" t="n"/>
      <c r="F191" s="63" t="n"/>
      <c r="G191" s="63" t="n"/>
      <c r="H191" s="63" t="n"/>
      <c r="I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n"/>
      <c r="AF191" s="63" t="n"/>
      <c r="AG191" s="63" t="n"/>
      <c r="AH191" s="63" t="n"/>
      <c r="AI191" s="63" t="n"/>
      <c r="AJ191" s="63" t="n"/>
      <c r="AK191" s="63" t="n"/>
      <c r="AM191" s="63" t="n"/>
    </row>
    <row r="192" ht="15.75" customHeight="1" s="65">
      <c r="A192" s="62" t="n"/>
      <c r="D192" s="63" t="n"/>
      <c r="E192" s="63" t="n"/>
      <c r="F192" s="63" t="n"/>
      <c r="G192" s="63" t="n"/>
      <c r="H192" s="63" t="n"/>
      <c r="I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  <c r="AC192" s="63" t="n"/>
      <c r="AD192" s="63" t="n"/>
      <c r="AE192" s="63" t="n"/>
      <c r="AF192" s="63" t="n"/>
      <c r="AG192" s="63" t="n"/>
      <c r="AH192" s="63" t="n"/>
      <c r="AI192" s="63" t="n"/>
      <c r="AJ192" s="63" t="n"/>
      <c r="AK192" s="63" t="n"/>
      <c r="AM192" s="63" t="n"/>
    </row>
    <row r="193" ht="15.75" customHeight="1" s="65">
      <c r="A193" s="62" t="n"/>
      <c r="D193" s="63" t="n"/>
      <c r="E193" s="63" t="n"/>
      <c r="F193" s="63" t="n"/>
      <c r="G193" s="63" t="n"/>
      <c r="H193" s="63" t="n"/>
      <c r="I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  <c r="AA193" s="63" t="n"/>
      <c r="AB193" s="63" t="n"/>
      <c r="AC193" s="63" t="n"/>
      <c r="AD193" s="63" t="n"/>
      <c r="AE193" s="63" t="n"/>
      <c r="AF193" s="63" t="n"/>
      <c r="AG193" s="63" t="n"/>
      <c r="AH193" s="63" t="n"/>
      <c r="AI193" s="63" t="n"/>
      <c r="AJ193" s="63" t="n"/>
      <c r="AK193" s="63" t="n"/>
      <c r="AM193" s="63" t="n"/>
    </row>
    <row r="194" ht="15.75" customHeight="1" s="65">
      <c r="A194" s="62" t="n"/>
      <c r="D194" s="63" t="n"/>
      <c r="E194" s="63" t="n"/>
      <c r="F194" s="63" t="n"/>
      <c r="G194" s="63" t="n"/>
      <c r="H194" s="63" t="n"/>
      <c r="I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63" t="n"/>
      <c r="AE194" s="63" t="n"/>
      <c r="AF194" s="63" t="n"/>
      <c r="AG194" s="63" t="n"/>
      <c r="AH194" s="63" t="n"/>
      <c r="AI194" s="63" t="n"/>
      <c r="AJ194" s="63" t="n"/>
      <c r="AK194" s="63" t="n"/>
      <c r="AM194" s="63" t="n"/>
    </row>
    <row r="195" ht="15.75" customHeight="1" s="65">
      <c r="A195" s="62" t="n"/>
      <c r="D195" s="63" t="n"/>
      <c r="E195" s="63" t="n"/>
      <c r="F195" s="63" t="n"/>
      <c r="G195" s="63" t="n"/>
      <c r="H195" s="63" t="n"/>
      <c r="I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63" t="n"/>
      <c r="AE195" s="63" t="n"/>
      <c r="AF195" s="63" t="n"/>
      <c r="AG195" s="63" t="n"/>
      <c r="AH195" s="63" t="n"/>
      <c r="AI195" s="63" t="n"/>
      <c r="AJ195" s="63" t="n"/>
      <c r="AK195" s="63" t="n"/>
      <c r="AM195" s="63" t="n"/>
    </row>
    <row r="196" ht="15.75" customHeight="1" s="65">
      <c r="A196" s="62" t="n"/>
      <c r="D196" s="63" t="n"/>
      <c r="E196" s="63" t="n"/>
      <c r="F196" s="63" t="n"/>
      <c r="G196" s="63" t="n"/>
      <c r="H196" s="63" t="n"/>
      <c r="I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63" t="n"/>
      <c r="AE196" s="63" t="n"/>
      <c r="AF196" s="63" t="n"/>
      <c r="AG196" s="63" t="n"/>
      <c r="AH196" s="63" t="n"/>
      <c r="AI196" s="63" t="n"/>
      <c r="AJ196" s="63" t="n"/>
      <c r="AK196" s="63" t="n"/>
      <c r="AM196" s="63" t="n"/>
    </row>
    <row r="197" ht="15.75" customHeight="1" s="65">
      <c r="A197" s="62" t="n"/>
      <c r="D197" s="63" t="n"/>
      <c r="E197" s="63" t="n"/>
      <c r="F197" s="63" t="n"/>
      <c r="G197" s="63" t="n"/>
      <c r="H197" s="63" t="n"/>
      <c r="I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M197" s="63" t="n"/>
    </row>
    <row r="198" ht="15.75" customHeight="1" s="65">
      <c r="A198" s="62" t="n"/>
      <c r="D198" s="63" t="n"/>
      <c r="E198" s="63" t="n"/>
      <c r="F198" s="63" t="n"/>
      <c r="G198" s="63" t="n"/>
      <c r="H198" s="63" t="n"/>
      <c r="I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63" t="n"/>
      <c r="AE198" s="63" t="n"/>
      <c r="AF198" s="63" t="n"/>
      <c r="AG198" s="63" t="n"/>
      <c r="AH198" s="63" t="n"/>
      <c r="AI198" s="63" t="n"/>
      <c r="AJ198" s="63" t="n"/>
      <c r="AK198" s="63" t="n"/>
      <c r="AM198" s="63" t="n"/>
    </row>
    <row r="199" ht="15.75" customHeight="1" s="65">
      <c r="A199" s="62" t="n"/>
      <c r="D199" s="63" t="n"/>
      <c r="E199" s="63" t="n"/>
      <c r="F199" s="63" t="n"/>
      <c r="G199" s="63" t="n"/>
      <c r="H199" s="63" t="n"/>
      <c r="I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63" t="n"/>
      <c r="AE199" s="63" t="n"/>
      <c r="AF199" s="63" t="n"/>
      <c r="AG199" s="63" t="n"/>
      <c r="AH199" s="63" t="n"/>
      <c r="AI199" s="63" t="n"/>
      <c r="AJ199" s="63" t="n"/>
      <c r="AK199" s="63" t="n"/>
      <c r="AM199" s="63" t="n"/>
    </row>
    <row r="200" ht="15.75" customHeight="1" s="65">
      <c r="A200" s="62" t="n"/>
      <c r="D200" s="63" t="n"/>
      <c r="E200" s="63" t="n"/>
      <c r="F200" s="63" t="n"/>
      <c r="G200" s="63" t="n"/>
      <c r="H200" s="63" t="n"/>
      <c r="I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63" t="n"/>
      <c r="AE200" s="63" t="n"/>
      <c r="AF200" s="63" t="n"/>
      <c r="AG200" s="63" t="n"/>
      <c r="AH200" s="63" t="n"/>
      <c r="AI200" s="63" t="n"/>
      <c r="AJ200" s="63" t="n"/>
      <c r="AK200" s="63" t="n"/>
      <c r="AM200" s="63" t="n"/>
    </row>
    <row r="201" ht="15.75" customHeight="1" s="65">
      <c r="A201" s="62" t="n"/>
      <c r="D201" s="63" t="n"/>
      <c r="E201" s="63" t="n"/>
      <c r="F201" s="63" t="n"/>
      <c r="G201" s="63" t="n"/>
      <c r="H201" s="63" t="n"/>
      <c r="I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63" t="n"/>
      <c r="AE201" s="63" t="n"/>
      <c r="AF201" s="63" t="n"/>
      <c r="AG201" s="63" t="n"/>
      <c r="AH201" s="63" t="n"/>
      <c r="AI201" s="63" t="n"/>
      <c r="AJ201" s="63" t="n"/>
      <c r="AK201" s="63" t="n"/>
      <c r="AM201" s="63" t="n"/>
    </row>
    <row r="202" ht="15.75" customHeight="1" s="65">
      <c r="A202" s="62" t="n"/>
      <c r="D202" s="63" t="n"/>
      <c r="E202" s="63" t="n"/>
      <c r="F202" s="63" t="n"/>
      <c r="G202" s="63" t="n"/>
      <c r="H202" s="63" t="n"/>
      <c r="I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63" t="n"/>
      <c r="AE202" s="63" t="n"/>
      <c r="AF202" s="63" t="n"/>
      <c r="AG202" s="63" t="n"/>
      <c r="AH202" s="63" t="n"/>
      <c r="AI202" s="63" t="n"/>
      <c r="AJ202" s="63" t="n"/>
      <c r="AK202" s="63" t="n"/>
      <c r="AM202" s="63" t="n"/>
    </row>
    <row r="203" ht="15.75" customHeight="1" s="65">
      <c r="A203" s="62" t="n"/>
      <c r="D203" s="63" t="n"/>
      <c r="E203" s="63" t="n"/>
      <c r="F203" s="63" t="n"/>
      <c r="G203" s="63" t="n"/>
      <c r="H203" s="63" t="n"/>
      <c r="I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  <c r="AC203" s="63" t="n"/>
      <c r="AD203" s="63" t="n"/>
      <c r="AE203" s="63" t="n"/>
      <c r="AF203" s="63" t="n"/>
      <c r="AG203" s="63" t="n"/>
      <c r="AH203" s="63" t="n"/>
      <c r="AI203" s="63" t="n"/>
      <c r="AJ203" s="63" t="n"/>
      <c r="AK203" s="63" t="n"/>
      <c r="AM203" s="63" t="n"/>
    </row>
    <row r="204" ht="15.75" customHeight="1" s="65">
      <c r="A204" s="62" t="n"/>
      <c r="D204" s="63" t="n"/>
      <c r="E204" s="63" t="n"/>
      <c r="F204" s="63" t="n"/>
      <c r="G204" s="63" t="n"/>
      <c r="H204" s="63" t="n"/>
      <c r="I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  <c r="AC204" s="63" t="n"/>
      <c r="AD204" s="63" t="n"/>
      <c r="AE204" s="63" t="n"/>
      <c r="AF204" s="63" t="n"/>
      <c r="AG204" s="63" t="n"/>
      <c r="AH204" s="63" t="n"/>
      <c r="AI204" s="63" t="n"/>
      <c r="AJ204" s="63" t="n"/>
      <c r="AK204" s="63" t="n"/>
      <c r="AM204" s="63" t="n"/>
    </row>
    <row r="205" ht="15.75" customHeight="1" s="65">
      <c r="A205" s="62" t="n"/>
      <c r="D205" s="63" t="n"/>
      <c r="E205" s="63" t="n"/>
      <c r="F205" s="63" t="n"/>
      <c r="G205" s="63" t="n"/>
      <c r="H205" s="63" t="n"/>
      <c r="I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  <c r="AI205" s="63" t="n"/>
      <c r="AJ205" s="63" t="n"/>
      <c r="AK205" s="63" t="n"/>
      <c r="AM205" s="63" t="n"/>
    </row>
    <row r="206" ht="15.75" customHeight="1" s="65">
      <c r="A206" s="62" t="n"/>
      <c r="D206" s="63" t="n"/>
      <c r="E206" s="63" t="n"/>
      <c r="F206" s="63" t="n"/>
      <c r="G206" s="63" t="n"/>
      <c r="H206" s="63" t="n"/>
      <c r="I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63" t="n"/>
      <c r="AE206" s="63" t="n"/>
      <c r="AF206" s="63" t="n"/>
      <c r="AG206" s="63" t="n"/>
      <c r="AH206" s="63" t="n"/>
      <c r="AI206" s="63" t="n"/>
      <c r="AJ206" s="63" t="n"/>
      <c r="AK206" s="63" t="n"/>
      <c r="AM206" s="63" t="n"/>
    </row>
    <row r="207" ht="15.75" customHeight="1" s="65">
      <c r="A207" s="62" t="n"/>
      <c r="D207" s="63" t="n"/>
      <c r="E207" s="63" t="n"/>
      <c r="F207" s="63" t="n"/>
      <c r="G207" s="63" t="n"/>
      <c r="H207" s="63" t="n"/>
      <c r="I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n"/>
      <c r="AF207" s="63" t="n"/>
      <c r="AG207" s="63" t="n"/>
      <c r="AH207" s="63" t="n"/>
      <c r="AI207" s="63" t="n"/>
      <c r="AJ207" s="63" t="n"/>
      <c r="AK207" s="63" t="n"/>
      <c r="AM207" s="63" t="n"/>
    </row>
    <row r="208" ht="15.75" customHeight="1" s="65">
      <c r="A208" s="62" t="n"/>
      <c r="D208" s="63" t="n"/>
      <c r="E208" s="63" t="n"/>
      <c r="F208" s="63" t="n"/>
      <c r="G208" s="63" t="n"/>
      <c r="H208" s="63" t="n"/>
      <c r="I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  <c r="AC208" s="63" t="n"/>
      <c r="AD208" s="63" t="n"/>
      <c r="AE208" s="63" t="n"/>
      <c r="AF208" s="63" t="n"/>
      <c r="AG208" s="63" t="n"/>
      <c r="AH208" s="63" t="n"/>
      <c r="AI208" s="63" t="n"/>
      <c r="AJ208" s="63" t="n"/>
      <c r="AK208" s="63" t="n"/>
      <c r="AM208" s="63" t="n"/>
    </row>
    <row r="209" ht="15.75" customHeight="1" s="65">
      <c r="A209" s="62" t="n"/>
      <c r="D209" s="63" t="n"/>
      <c r="E209" s="63" t="n"/>
      <c r="F209" s="63" t="n"/>
      <c r="G209" s="63" t="n"/>
      <c r="H209" s="63" t="n"/>
      <c r="I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n"/>
      <c r="AF209" s="63" t="n"/>
      <c r="AG209" s="63" t="n"/>
      <c r="AH209" s="63" t="n"/>
      <c r="AI209" s="63" t="n"/>
      <c r="AJ209" s="63" t="n"/>
      <c r="AK209" s="63" t="n"/>
      <c r="AM209" s="63" t="n"/>
    </row>
    <row r="210" ht="15.75" customHeight="1" s="65">
      <c r="A210" s="62" t="n"/>
      <c r="D210" s="63" t="n"/>
      <c r="E210" s="63" t="n"/>
      <c r="F210" s="63" t="n"/>
      <c r="G210" s="63" t="n"/>
      <c r="H210" s="63" t="n"/>
      <c r="I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63" t="n"/>
      <c r="AE210" s="63" t="n"/>
      <c r="AF210" s="63" t="n"/>
      <c r="AG210" s="63" t="n"/>
      <c r="AH210" s="63" t="n"/>
      <c r="AI210" s="63" t="n"/>
      <c r="AJ210" s="63" t="n"/>
      <c r="AK210" s="63" t="n"/>
      <c r="AM210" s="63" t="n"/>
    </row>
    <row r="211" ht="15.75" customHeight="1" s="65">
      <c r="A211" s="62" t="n"/>
      <c r="D211" s="63" t="n"/>
      <c r="E211" s="63" t="n"/>
      <c r="F211" s="63" t="n"/>
      <c r="G211" s="63" t="n"/>
      <c r="H211" s="63" t="n"/>
      <c r="I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n"/>
      <c r="AF211" s="63" t="n"/>
      <c r="AG211" s="63" t="n"/>
      <c r="AH211" s="63" t="n"/>
      <c r="AI211" s="63" t="n"/>
      <c r="AJ211" s="63" t="n"/>
      <c r="AK211" s="63" t="n"/>
      <c r="AM211" s="63" t="n"/>
    </row>
    <row r="212" ht="15.75" customHeight="1" s="65">
      <c r="A212" s="62" t="n"/>
      <c r="D212" s="63" t="n"/>
      <c r="E212" s="63" t="n"/>
      <c r="F212" s="63" t="n"/>
      <c r="G212" s="63" t="n"/>
      <c r="H212" s="63" t="n"/>
      <c r="I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63" t="n"/>
      <c r="AE212" s="63" t="n"/>
      <c r="AF212" s="63" t="n"/>
      <c r="AG212" s="63" t="n"/>
      <c r="AH212" s="63" t="n"/>
      <c r="AI212" s="63" t="n"/>
      <c r="AJ212" s="63" t="n"/>
      <c r="AK212" s="63" t="n"/>
      <c r="AM212" s="63" t="n"/>
    </row>
    <row r="213" ht="15.75" customHeight="1" s="65">
      <c r="A213" s="62" t="n"/>
      <c r="D213" s="63" t="n"/>
      <c r="E213" s="63" t="n"/>
      <c r="F213" s="63" t="n"/>
      <c r="G213" s="63" t="n"/>
      <c r="H213" s="63" t="n"/>
      <c r="I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n"/>
      <c r="AF213" s="63" t="n"/>
      <c r="AG213" s="63" t="n"/>
      <c r="AH213" s="63" t="n"/>
      <c r="AI213" s="63" t="n"/>
      <c r="AJ213" s="63" t="n"/>
      <c r="AK213" s="63" t="n"/>
      <c r="AM213" s="63" t="n"/>
    </row>
    <row r="214" ht="15.75" customHeight="1" s="65">
      <c r="A214" s="62" t="n"/>
      <c r="D214" s="63" t="n"/>
      <c r="E214" s="63" t="n"/>
      <c r="F214" s="63" t="n"/>
      <c r="G214" s="63" t="n"/>
      <c r="H214" s="63" t="n"/>
      <c r="I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  <c r="AC214" s="63" t="n"/>
      <c r="AD214" s="63" t="n"/>
      <c r="AE214" s="63" t="n"/>
      <c r="AF214" s="63" t="n"/>
      <c r="AG214" s="63" t="n"/>
      <c r="AH214" s="63" t="n"/>
      <c r="AI214" s="63" t="n"/>
      <c r="AJ214" s="63" t="n"/>
      <c r="AK214" s="63" t="n"/>
      <c r="AM214" s="63" t="n"/>
    </row>
    <row r="215" ht="15.75" customHeight="1" s="65">
      <c r="A215" s="62" t="n"/>
      <c r="D215" s="63" t="n"/>
      <c r="E215" s="63" t="n"/>
      <c r="F215" s="63" t="n"/>
      <c r="G215" s="63" t="n"/>
      <c r="H215" s="63" t="n"/>
      <c r="I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63" t="n"/>
      <c r="AE215" s="63" t="n"/>
      <c r="AF215" s="63" t="n"/>
      <c r="AG215" s="63" t="n"/>
      <c r="AH215" s="63" t="n"/>
      <c r="AI215" s="63" t="n"/>
      <c r="AJ215" s="63" t="n"/>
      <c r="AK215" s="63" t="n"/>
      <c r="AM215" s="63" t="n"/>
    </row>
    <row r="216" ht="15.75" customHeight="1" s="65">
      <c r="A216" s="62" t="n"/>
      <c r="D216" s="63" t="n"/>
      <c r="E216" s="63" t="n"/>
      <c r="F216" s="63" t="n"/>
      <c r="G216" s="63" t="n"/>
      <c r="H216" s="63" t="n"/>
      <c r="I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63" t="n"/>
      <c r="AE216" s="63" t="n"/>
      <c r="AF216" s="63" t="n"/>
      <c r="AG216" s="63" t="n"/>
      <c r="AH216" s="63" t="n"/>
      <c r="AI216" s="63" t="n"/>
      <c r="AJ216" s="63" t="n"/>
      <c r="AK216" s="63" t="n"/>
      <c r="AM216" s="63" t="n"/>
    </row>
    <row r="217" ht="15.75" customHeight="1" s="65">
      <c r="A217" s="62" t="n"/>
      <c r="D217" s="63" t="n"/>
      <c r="E217" s="63" t="n"/>
      <c r="F217" s="63" t="n"/>
      <c r="G217" s="63" t="n"/>
      <c r="H217" s="63" t="n"/>
      <c r="I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n"/>
      <c r="AF217" s="63" t="n"/>
      <c r="AG217" s="63" t="n"/>
      <c r="AH217" s="63" t="n"/>
      <c r="AI217" s="63" t="n"/>
      <c r="AJ217" s="63" t="n"/>
      <c r="AK217" s="63" t="n"/>
      <c r="AM217" s="63" t="n"/>
    </row>
    <row r="218" ht="15.75" customHeight="1" s="65">
      <c r="A218" s="62" t="n"/>
      <c r="D218" s="63" t="n"/>
      <c r="E218" s="63" t="n"/>
      <c r="F218" s="63" t="n"/>
      <c r="G218" s="63" t="n"/>
      <c r="H218" s="63" t="n"/>
      <c r="I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63" t="n"/>
      <c r="AE218" s="63" t="n"/>
      <c r="AF218" s="63" t="n"/>
      <c r="AG218" s="63" t="n"/>
      <c r="AH218" s="63" t="n"/>
      <c r="AI218" s="63" t="n"/>
      <c r="AJ218" s="63" t="n"/>
      <c r="AK218" s="63" t="n"/>
      <c r="AM218" s="63" t="n"/>
    </row>
    <row r="219" ht="15.75" customHeight="1" s="65">
      <c r="A219" s="62" t="n"/>
      <c r="D219" s="63" t="n"/>
      <c r="E219" s="63" t="n"/>
      <c r="F219" s="63" t="n"/>
      <c r="G219" s="63" t="n"/>
      <c r="H219" s="63" t="n"/>
      <c r="I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n"/>
      <c r="AF219" s="63" t="n"/>
      <c r="AG219" s="63" t="n"/>
      <c r="AH219" s="63" t="n"/>
      <c r="AI219" s="63" t="n"/>
      <c r="AJ219" s="63" t="n"/>
      <c r="AK219" s="63" t="n"/>
      <c r="AM219" s="63" t="n"/>
    </row>
    <row r="220" ht="15.75" customHeight="1" s="65">
      <c r="A220" s="62" t="n"/>
      <c r="D220" s="63" t="n"/>
      <c r="E220" s="63" t="n"/>
      <c r="F220" s="63" t="n"/>
      <c r="G220" s="63" t="n"/>
      <c r="H220" s="63" t="n"/>
      <c r="I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63" t="n"/>
      <c r="AE220" s="63" t="n"/>
      <c r="AF220" s="63" t="n"/>
      <c r="AG220" s="63" t="n"/>
      <c r="AH220" s="63" t="n"/>
      <c r="AI220" s="63" t="n"/>
      <c r="AJ220" s="63" t="n"/>
      <c r="AK220" s="63" t="n"/>
      <c r="AM220" s="63" t="n"/>
    </row>
    <row r="221" ht="15.75" customHeight="1" s="65">
      <c r="A221" s="62" t="n"/>
      <c r="D221" s="63" t="n"/>
      <c r="E221" s="63" t="n"/>
      <c r="F221" s="63" t="n"/>
      <c r="G221" s="63" t="n"/>
      <c r="H221" s="63" t="n"/>
      <c r="I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n"/>
      <c r="AF221" s="63" t="n"/>
      <c r="AG221" s="63" t="n"/>
      <c r="AH221" s="63" t="n"/>
      <c r="AI221" s="63" t="n"/>
      <c r="AJ221" s="63" t="n"/>
      <c r="AK221" s="63" t="n"/>
      <c r="AM221" s="63" t="n"/>
    </row>
    <row r="222" ht="15.75" customHeight="1" s="65">
      <c r="A222" s="62" t="n"/>
      <c r="D222" s="63" t="n"/>
      <c r="E222" s="63" t="n"/>
      <c r="F222" s="63" t="n"/>
      <c r="G222" s="63" t="n"/>
      <c r="H222" s="63" t="n"/>
      <c r="I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63" t="n"/>
      <c r="AE222" s="63" t="n"/>
      <c r="AF222" s="63" t="n"/>
      <c r="AG222" s="63" t="n"/>
      <c r="AH222" s="63" t="n"/>
      <c r="AI222" s="63" t="n"/>
      <c r="AJ222" s="63" t="n"/>
      <c r="AK222" s="63" t="n"/>
      <c r="AM222" s="63" t="n"/>
    </row>
    <row r="223" ht="15.75" customHeight="1" s="65">
      <c r="A223" s="62" t="n"/>
      <c r="D223" s="63" t="n"/>
      <c r="E223" s="63" t="n"/>
      <c r="F223" s="63" t="n"/>
      <c r="G223" s="63" t="n"/>
      <c r="H223" s="63" t="n"/>
      <c r="I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63" t="n"/>
      <c r="AE223" s="63" t="n"/>
      <c r="AF223" s="63" t="n"/>
      <c r="AG223" s="63" t="n"/>
      <c r="AH223" s="63" t="n"/>
      <c r="AI223" s="63" t="n"/>
      <c r="AJ223" s="63" t="n"/>
      <c r="AK223" s="63" t="n"/>
      <c r="AM223" s="63" t="n"/>
    </row>
    <row r="224" ht="15.75" customHeight="1" s="65">
      <c r="A224" s="62" t="n"/>
      <c r="D224" s="63" t="n"/>
      <c r="E224" s="63" t="n"/>
      <c r="F224" s="63" t="n"/>
      <c r="G224" s="63" t="n"/>
      <c r="H224" s="63" t="n"/>
      <c r="I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63" t="n"/>
      <c r="AE224" s="63" t="n"/>
      <c r="AF224" s="63" t="n"/>
      <c r="AG224" s="63" t="n"/>
      <c r="AH224" s="63" t="n"/>
      <c r="AI224" s="63" t="n"/>
      <c r="AJ224" s="63" t="n"/>
      <c r="AK224" s="63" t="n"/>
      <c r="AM224" s="63" t="n"/>
    </row>
    <row r="225" ht="15.75" customHeight="1" s="65">
      <c r="A225" s="62" t="n"/>
      <c r="D225" s="63" t="n"/>
      <c r="E225" s="63" t="n"/>
      <c r="F225" s="63" t="n"/>
      <c r="G225" s="63" t="n"/>
      <c r="H225" s="63" t="n"/>
      <c r="I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n"/>
      <c r="AF225" s="63" t="n"/>
      <c r="AG225" s="63" t="n"/>
      <c r="AH225" s="63" t="n"/>
      <c r="AI225" s="63" t="n"/>
      <c r="AJ225" s="63" t="n"/>
      <c r="AK225" s="63" t="n"/>
      <c r="AM225" s="63" t="n"/>
    </row>
    <row r="226" ht="15.75" customHeight="1" s="65">
      <c r="A226" s="62" t="n"/>
      <c r="D226" s="63" t="n"/>
      <c r="E226" s="63" t="n"/>
      <c r="F226" s="63" t="n"/>
      <c r="G226" s="63" t="n"/>
      <c r="H226" s="63" t="n"/>
      <c r="I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63" t="n"/>
      <c r="AE226" s="63" t="n"/>
      <c r="AF226" s="63" t="n"/>
      <c r="AG226" s="63" t="n"/>
      <c r="AH226" s="63" t="n"/>
      <c r="AI226" s="63" t="n"/>
      <c r="AJ226" s="63" t="n"/>
      <c r="AK226" s="63" t="n"/>
      <c r="AM226" s="63" t="n"/>
    </row>
    <row r="227" ht="15.75" customHeight="1" s="65">
      <c r="A227" s="62" t="n"/>
      <c r="D227" s="63" t="n"/>
      <c r="E227" s="63" t="n"/>
      <c r="F227" s="63" t="n"/>
      <c r="G227" s="63" t="n"/>
      <c r="H227" s="63" t="n"/>
      <c r="I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n"/>
      <c r="AF227" s="63" t="n"/>
      <c r="AG227" s="63" t="n"/>
      <c r="AH227" s="63" t="n"/>
      <c r="AI227" s="63" t="n"/>
      <c r="AJ227" s="63" t="n"/>
      <c r="AK227" s="63" t="n"/>
      <c r="AM227" s="63" t="n"/>
    </row>
    <row r="228" ht="15.75" customHeight="1" s="65">
      <c r="A228" s="62" t="n"/>
      <c r="D228" s="63" t="n"/>
      <c r="E228" s="63" t="n"/>
      <c r="F228" s="63" t="n"/>
      <c r="G228" s="63" t="n"/>
      <c r="H228" s="63" t="n"/>
      <c r="I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63" t="n"/>
      <c r="AE228" s="63" t="n"/>
      <c r="AF228" s="63" t="n"/>
      <c r="AG228" s="63" t="n"/>
      <c r="AH228" s="63" t="n"/>
      <c r="AI228" s="63" t="n"/>
      <c r="AJ228" s="63" t="n"/>
      <c r="AK228" s="63" t="n"/>
      <c r="AM228" s="63" t="n"/>
    </row>
    <row r="229" ht="15.75" customHeight="1" s="65">
      <c r="A229" s="62" t="n"/>
      <c r="D229" s="63" t="n"/>
      <c r="E229" s="63" t="n"/>
      <c r="F229" s="63" t="n"/>
      <c r="G229" s="63" t="n"/>
      <c r="H229" s="63" t="n"/>
      <c r="I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n"/>
      <c r="AF229" s="63" t="n"/>
      <c r="AG229" s="63" t="n"/>
      <c r="AH229" s="63" t="n"/>
      <c r="AI229" s="63" t="n"/>
      <c r="AJ229" s="63" t="n"/>
      <c r="AK229" s="63" t="n"/>
      <c r="AM229" s="63" t="n"/>
    </row>
    <row r="230" ht="15.75" customHeight="1" s="65">
      <c r="A230" s="62" t="n"/>
      <c r="D230" s="63" t="n"/>
      <c r="E230" s="63" t="n"/>
      <c r="F230" s="63" t="n"/>
      <c r="G230" s="63" t="n"/>
      <c r="H230" s="63" t="n"/>
      <c r="I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63" t="n"/>
      <c r="AE230" s="63" t="n"/>
      <c r="AF230" s="63" t="n"/>
      <c r="AG230" s="63" t="n"/>
      <c r="AH230" s="63" t="n"/>
      <c r="AI230" s="63" t="n"/>
      <c r="AJ230" s="63" t="n"/>
      <c r="AK230" s="63" t="n"/>
      <c r="AM230" s="63" t="n"/>
    </row>
    <row r="231" ht="15.75" customHeight="1" s="65">
      <c r="A231" s="62" t="n"/>
      <c r="D231" s="63" t="n"/>
      <c r="E231" s="63" t="n"/>
      <c r="F231" s="63" t="n"/>
      <c r="G231" s="63" t="n"/>
      <c r="H231" s="63" t="n"/>
      <c r="I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n"/>
      <c r="AF231" s="63" t="n"/>
      <c r="AG231" s="63" t="n"/>
      <c r="AH231" s="63" t="n"/>
      <c r="AI231" s="63" t="n"/>
      <c r="AJ231" s="63" t="n"/>
      <c r="AK231" s="63" t="n"/>
      <c r="AM231" s="63" t="n"/>
    </row>
    <row r="232" ht="15.75" customHeight="1" s="65">
      <c r="A232" s="62" t="n"/>
      <c r="D232" s="63" t="n"/>
      <c r="E232" s="63" t="n"/>
      <c r="F232" s="63" t="n"/>
      <c r="G232" s="63" t="n"/>
      <c r="H232" s="63" t="n"/>
      <c r="I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63" t="n"/>
      <c r="AE232" s="63" t="n"/>
      <c r="AF232" s="63" t="n"/>
      <c r="AG232" s="63" t="n"/>
      <c r="AH232" s="63" t="n"/>
      <c r="AI232" s="63" t="n"/>
      <c r="AJ232" s="63" t="n"/>
      <c r="AK232" s="63" t="n"/>
      <c r="AM232" s="63" t="n"/>
    </row>
    <row r="233" ht="15.75" customHeight="1" s="65">
      <c r="A233" s="62" t="n"/>
      <c r="D233" s="63" t="n"/>
      <c r="E233" s="63" t="n"/>
      <c r="F233" s="63" t="n"/>
      <c r="G233" s="63" t="n"/>
      <c r="H233" s="63" t="n"/>
      <c r="I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63" t="n"/>
      <c r="AE233" s="63" t="n"/>
      <c r="AF233" s="63" t="n"/>
      <c r="AG233" s="63" t="n"/>
      <c r="AH233" s="63" t="n"/>
      <c r="AI233" s="63" t="n"/>
      <c r="AJ233" s="63" t="n"/>
      <c r="AK233" s="63" t="n"/>
      <c r="AM233" s="63" t="n"/>
    </row>
    <row r="234" ht="15.75" customHeight="1" s="65">
      <c r="A234" s="62" t="n"/>
      <c r="D234" s="63" t="n"/>
      <c r="E234" s="63" t="n"/>
      <c r="F234" s="63" t="n"/>
      <c r="G234" s="63" t="n"/>
      <c r="H234" s="63" t="n"/>
      <c r="I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63" t="n"/>
      <c r="AE234" s="63" t="n"/>
      <c r="AF234" s="63" t="n"/>
      <c r="AG234" s="63" t="n"/>
      <c r="AH234" s="63" t="n"/>
      <c r="AI234" s="63" t="n"/>
      <c r="AJ234" s="63" t="n"/>
      <c r="AK234" s="63" t="n"/>
      <c r="AM234" s="63" t="n"/>
    </row>
    <row r="235" ht="15.75" customHeight="1" s="65">
      <c r="A235" s="62" t="n"/>
      <c r="D235" s="63" t="n"/>
      <c r="E235" s="63" t="n"/>
      <c r="F235" s="63" t="n"/>
      <c r="G235" s="63" t="n"/>
      <c r="H235" s="63" t="n"/>
      <c r="I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n"/>
      <c r="AF235" s="63" t="n"/>
      <c r="AG235" s="63" t="n"/>
      <c r="AH235" s="63" t="n"/>
      <c r="AI235" s="63" t="n"/>
      <c r="AJ235" s="63" t="n"/>
      <c r="AK235" s="63" t="n"/>
      <c r="AM235" s="63" t="n"/>
    </row>
    <row r="236" ht="15.75" customHeight="1" s="65">
      <c r="A236" s="62" t="n"/>
      <c r="D236" s="63" t="n"/>
      <c r="E236" s="63" t="n"/>
      <c r="F236" s="63" t="n"/>
      <c r="G236" s="63" t="n"/>
      <c r="H236" s="63" t="n"/>
      <c r="I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  <c r="AD236" s="63" t="n"/>
      <c r="AE236" s="63" t="n"/>
      <c r="AF236" s="63" t="n"/>
      <c r="AG236" s="63" t="n"/>
      <c r="AH236" s="63" t="n"/>
      <c r="AI236" s="63" t="n"/>
      <c r="AJ236" s="63" t="n"/>
      <c r="AK236" s="63" t="n"/>
      <c r="AM236" s="63" t="n"/>
    </row>
    <row r="237" ht="15.75" customHeight="1" s="65">
      <c r="A237" s="62" t="n"/>
      <c r="D237" s="63" t="n"/>
      <c r="E237" s="63" t="n"/>
      <c r="F237" s="63" t="n"/>
      <c r="G237" s="63" t="n"/>
      <c r="H237" s="63" t="n"/>
      <c r="I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n"/>
      <c r="AF237" s="63" t="n"/>
      <c r="AG237" s="63" t="n"/>
      <c r="AH237" s="63" t="n"/>
      <c r="AI237" s="63" t="n"/>
      <c r="AJ237" s="63" t="n"/>
      <c r="AK237" s="63" t="n"/>
      <c r="AM237" s="63" t="n"/>
    </row>
    <row r="238" ht="15.75" customHeight="1" s="65">
      <c r="A238" s="62" t="n"/>
      <c r="D238" s="63" t="n"/>
      <c r="E238" s="63" t="n"/>
      <c r="F238" s="63" t="n"/>
      <c r="G238" s="63" t="n"/>
      <c r="H238" s="63" t="n"/>
      <c r="I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63" t="n"/>
      <c r="AE238" s="63" t="n"/>
      <c r="AF238" s="63" t="n"/>
      <c r="AG238" s="63" t="n"/>
      <c r="AH238" s="63" t="n"/>
      <c r="AI238" s="63" t="n"/>
      <c r="AJ238" s="63" t="n"/>
      <c r="AK238" s="63" t="n"/>
      <c r="AM238" s="63" t="n"/>
    </row>
    <row r="239" ht="15.75" customHeight="1" s="65">
      <c r="A239" s="62" t="n"/>
      <c r="D239" s="63" t="n"/>
      <c r="E239" s="63" t="n"/>
      <c r="F239" s="63" t="n"/>
      <c r="G239" s="63" t="n"/>
      <c r="H239" s="63" t="n"/>
      <c r="I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n"/>
      <c r="AF239" s="63" t="n"/>
      <c r="AG239" s="63" t="n"/>
      <c r="AH239" s="63" t="n"/>
      <c r="AI239" s="63" t="n"/>
      <c r="AJ239" s="63" t="n"/>
      <c r="AK239" s="63" t="n"/>
      <c r="AM239" s="63" t="n"/>
    </row>
    <row r="240" ht="15.75" customHeight="1" s="65">
      <c r="A240" s="62" t="n"/>
      <c r="D240" s="63" t="n"/>
      <c r="E240" s="63" t="n"/>
      <c r="F240" s="63" t="n"/>
      <c r="G240" s="63" t="n"/>
      <c r="H240" s="63" t="n"/>
      <c r="I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  <c r="AC240" s="63" t="n"/>
      <c r="AD240" s="63" t="n"/>
      <c r="AE240" s="63" t="n"/>
      <c r="AF240" s="63" t="n"/>
      <c r="AG240" s="63" t="n"/>
      <c r="AH240" s="63" t="n"/>
      <c r="AI240" s="63" t="n"/>
      <c r="AJ240" s="63" t="n"/>
      <c r="AK240" s="63" t="n"/>
      <c r="AM240" s="63" t="n"/>
    </row>
    <row r="241" ht="15.75" customHeight="1" s="65">
      <c r="A241" s="62" t="n"/>
      <c r="D241" s="63" t="n"/>
      <c r="E241" s="63" t="n"/>
      <c r="F241" s="63" t="n"/>
      <c r="G241" s="63" t="n"/>
      <c r="H241" s="63" t="n"/>
      <c r="I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63" t="n"/>
      <c r="AE241" s="63" t="n"/>
      <c r="AF241" s="63" t="n"/>
      <c r="AG241" s="63" t="n"/>
      <c r="AH241" s="63" t="n"/>
      <c r="AI241" s="63" t="n"/>
      <c r="AJ241" s="63" t="n"/>
      <c r="AK241" s="63" t="n"/>
      <c r="AM241" s="63" t="n"/>
    </row>
    <row r="242" ht="15.75" customHeight="1" s="65">
      <c r="A242" s="62" t="n"/>
      <c r="D242" s="63" t="n"/>
      <c r="E242" s="63" t="n"/>
      <c r="F242" s="63" t="n"/>
      <c r="G242" s="63" t="n"/>
      <c r="H242" s="63" t="n"/>
      <c r="I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63" t="n"/>
      <c r="AE242" s="63" t="n"/>
      <c r="AF242" s="63" t="n"/>
      <c r="AG242" s="63" t="n"/>
      <c r="AH242" s="63" t="n"/>
      <c r="AI242" s="63" t="n"/>
      <c r="AJ242" s="63" t="n"/>
      <c r="AK242" s="63" t="n"/>
      <c r="AM242" s="63" t="n"/>
    </row>
    <row r="243" ht="15.75" customHeight="1" s="65">
      <c r="A243" s="62" t="n"/>
      <c r="D243" s="63" t="n"/>
      <c r="E243" s="63" t="n"/>
      <c r="F243" s="63" t="n"/>
      <c r="G243" s="63" t="n"/>
      <c r="H243" s="63" t="n"/>
      <c r="I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63" t="n"/>
      <c r="AE243" s="63" t="n"/>
      <c r="AF243" s="63" t="n"/>
      <c r="AG243" s="63" t="n"/>
      <c r="AH243" s="63" t="n"/>
      <c r="AI243" s="63" t="n"/>
      <c r="AJ243" s="63" t="n"/>
      <c r="AK243" s="63" t="n"/>
      <c r="AM243" s="63" t="n"/>
    </row>
    <row r="244" ht="15.75" customHeight="1" s="65">
      <c r="A244" s="62" t="n"/>
      <c r="D244" s="63" t="n"/>
      <c r="E244" s="63" t="n"/>
      <c r="F244" s="63" t="n"/>
      <c r="G244" s="63" t="n"/>
      <c r="H244" s="63" t="n"/>
      <c r="I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63" t="n"/>
      <c r="AE244" s="63" t="n"/>
      <c r="AF244" s="63" t="n"/>
      <c r="AG244" s="63" t="n"/>
      <c r="AH244" s="63" t="n"/>
      <c r="AI244" s="63" t="n"/>
      <c r="AJ244" s="63" t="n"/>
      <c r="AK244" s="63" t="n"/>
      <c r="AM244" s="63" t="n"/>
    </row>
    <row r="245" ht="15.75" customHeight="1" s="65">
      <c r="A245" s="62" t="n"/>
      <c r="D245" s="63" t="n"/>
      <c r="E245" s="63" t="n"/>
      <c r="F245" s="63" t="n"/>
      <c r="G245" s="63" t="n"/>
      <c r="H245" s="63" t="n"/>
      <c r="I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63" t="n"/>
      <c r="AE245" s="63" t="n"/>
      <c r="AF245" s="63" t="n"/>
      <c r="AG245" s="63" t="n"/>
      <c r="AH245" s="63" t="n"/>
      <c r="AI245" s="63" t="n"/>
      <c r="AJ245" s="63" t="n"/>
      <c r="AK245" s="63" t="n"/>
      <c r="AM245" s="63" t="n"/>
    </row>
    <row r="246" ht="15.75" customHeight="1" s="65">
      <c r="A246" s="62" t="n"/>
      <c r="D246" s="63" t="n"/>
      <c r="E246" s="63" t="n"/>
      <c r="F246" s="63" t="n"/>
      <c r="G246" s="63" t="n"/>
      <c r="H246" s="63" t="n"/>
      <c r="I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63" t="n"/>
      <c r="AE246" s="63" t="n"/>
      <c r="AF246" s="63" t="n"/>
      <c r="AG246" s="63" t="n"/>
      <c r="AH246" s="63" t="n"/>
      <c r="AI246" s="63" t="n"/>
      <c r="AJ246" s="63" t="n"/>
      <c r="AK246" s="63" t="n"/>
      <c r="AM246" s="63" t="n"/>
    </row>
    <row r="247" ht="15.75" customHeight="1" s="65">
      <c r="A247" s="62" t="n"/>
      <c r="D247" s="63" t="n"/>
      <c r="E247" s="63" t="n"/>
      <c r="F247" s="63" t="n"/>
      <c r="G247" s="63" t="n"/>
      <c r="H247" s="63" t="n"/>
      <c r="I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63" t="n"/>
      <c r="AE247" s="63" t="n"/>
      <c r="AF247" s="63" t="n"/>
      <c r="AG247" s="63" t="n"/>
      <c r="AH247" s="63" t="n"/>
      <c r="AI247" s="63" t="n"/>
      <c r="AJ247" s="63" t="n"/>
      <c r="AK247" s="63" t="n"/>
      <c r="AM247" s="63" t="n"/>
    </row>
    <row r="248" ht="15.75" customHeight="1" s="65">
      <c r="A248" s="62" t="n"/>
      <c r="D248" s="63" t="n"/>
      <c r="E248" s="63" t="n"/>
      <c r="F248" s="63" t="n"/>
      <c r="G248" s="63" t="n"/>
      <c r="H248" s="63" t="n"/>
      <c r="I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63" t="n"/>
      <c r="AE248" s="63" t="n"/>
      <c r="AF248" s="63" t="n"/>
      <c r="AG248" s="63" t="n"/>
      <c r="AH248" s="63" t="n"/>
      <c r="AI248" s="63" t="n"/>
      <c r="AJ248" s="63" t="n"/>
      <c r="AK248" s="63" t="n"/>
      <c r="AM248" s="63" t="n"/>
    </row>
    <row r="249" ht="15.75" customHeight="1" s="65">
      <c r="A249" s="62" t="n"/>
      <c r="D249" s="63" t="n"/>
      <c r="E249" s="63" t="n"/>
      <c r="F249" s="63" t="n"/>
      <c r="G249" s="63" t="n"/>
      <c r="H249" s="63" t="n"/>
      <c r="I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n"/>
      <c r="AF249" s="63" t="n"/>
      <c r="AG249" s="63" t="n"/>
      <c r="AH249" s="63" t="n"/>
      <c r="AI249" s="63" t="n"/>
      <c r="AJ249" s="63" t="n"/>
      <c r="AK249" s="63" t="n"/>
      <c r="AM249" s="63" t="n"/>
    </row>
    <row r="250" ht="15.75" customHeight="1" s="65">
      <c r="A250" s="62" t="n"/>
      <c r="D250" s="63" t="n"/>
      <c r="E250" s="63" t="n"/>
      <c r="F250" s="63" t="n"/>
      <c r="G250" s="63" t="n"/>
      <c r="H250" s="63" t="n"/>
      <c r="I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3" t="n"/>
      <c r="AB250" s="63" t="n"/>
      <c r="AC250" s="63" t="n"/>
      <c r="AD250" s="63" t="n"/>
      <c r="AE250" s="63" t="n"/>
      <c r="AF250" s="63" t="n"/>
      <c r="AG250" s="63" t="n"/>
      <c r="AH250" s="63" t="n"/>
      <c r="AI250" s="63" t="n"/>
      <c r="AJ250" s="63" t="n"/>
      <c r="AK250" s="63" t="n"/>
      <c r="AM250" s="63" t="n"/>
    </row>
    <row r="251" ht="15.75" customHeight="1" s="65">
      <c r="A251" s="62" t="n"/>
      <c r="D251" s="63" t="n"/>
      <c r="E251" s="63" t="n"/>
      <c r="F251" s="63" t="n"/>
      <c r="G251" s="63" t="n"/>
      <c r="H251" s="63" t="n"/>
      <c r="I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63" t="n"/>
      <c r="AE251" s="63" t="n"/>
      <c r="AF251" s="63" t="n"/>
      <c r="AG251" s="63" t="n"/>
      <c r="AH251" s="63" t="n"/>
      <c r="AI251" s="63" t="n"/>
      <c r="AJ251" s="63" t="n"/>
      <c r="AK251" s="63" t="n"/>
      <c r="AM251" s="63" t="n"/>
    </row>
    <row r="252" ht="15.75" customHeight="1" s="65">
      <c r="A252" s="62" t="n"/>
      <c r="D252" s="63" t="n"/>
      <c r="E252" s="63" t="n"/>
      <c r="F252" s="63" t="n"/>
      <c r="G252" s="63" t="n"/>
      <c r="H252" s="63" t="n"/>
      <c r="I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  <c r="AC252" s="63" t="n"/>
      <c r="AD252" s="63" t="n"/>
      <c r="AE252" s="63" t="n"/>
      <c r="AF252" s="63" t="n"/>
      <c r="AG252" s="63" t="n"/>
      <c r="AH252" s="63" t="n"/>
      <c r="AI252" s="63" t="n"/>
      <c r="AJ252" s="63" t="n"/>
      <c r="AK252" s="63" t="n"/>
      <c r="AM252" s="63" t="n"/>
    </row>
    <row r="253" ht="15.75" customHeight="1" s="65">
      <c r="A253" s="62" t="n"/>
      <c r="D253" s="63" t="n"/>
      <c r="E253" s="63" t="n"/>
      <c r="F253" s="63" t="n"/>
      <c r="G253" s="63" t="n"/>
      <c r="H253" s="63" t="n"/>
      <c r="I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  <c r="AC253" s="63" t="n"/>
      <c r="AD253" s="63" t="n"/>
      <c r="AE253" s="63" t="n"/>
      <c r="AF253" s="63" t="n"/>
      <c r="AG253" s="63" t="n"/>
      <c r="AH253" s="63" t="n"/>
      <c r="AI253" s="63" t="n"/>
      <c r="AJ253" s="63" t="n"/>
      <c r="AK253" s="63" t="n"/>
      <c r="AM253" s="63" t="n"/>
    </row>
    <row r="254" ht="15.75" customHeight="1" s="65">
      <c r="A254" s="62" t="n"/>
      <c r="D254" s="63" t="n"/>
      <c r="E254" s="63" t="n"/>
      <c r="F254" s="63" t="n"/>
      <c r="G254" s="63" t="n"/>
      <c r="H254" s="63" t="n"/>
      <c r="I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63" t="n"/>
      <c r="AE254" s="63" t="n"/>
      <c r="AF254" s="63" t="n"/>
      <c r="AG254" s="63" t="n"/>
      <c r="AH254" s="63" t="n"/>
      <c r="AI254" s="63" t="n"/>
      <c r="AJ254" s="63" t="n"/>
      <c r="AK254" s="63" t="n"/>
      <c r="AM254" s="63" t="n"/>
    </row>
    <row r="255" ht="15.75" customHeight="1" s="65">
      <c r="A255" s="62" t="n"/>
      <c r="D255" s="63" t="n"/>
      <c r="E255" s="63" t="n"/>
      <c r="F255" s="63" t="n"/>
      <c r="G255" s="63" t="n"/>
      <c r="H255" s="63" t="n"/>
      <c r="I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  <c r="AC255" s="63" t="n"/>
      <c r="AD255" s="63" t="n"/>
      <c r="AE255" s="63" t="n"/>
      <c r="AF255" s="63" t="n"/>
      <c r="AG255" s="63" t="n"/>
      <c r="AH255" s="63" t="n"/>
      <c r="AI255" s="63" t="n"/>
      <c r="AJ255" s="63" t="n"/>
      <c r="AK255" s="63" t="n"/>
      <c r="AM255" s="63" t="n"/>
    </row>
    <row r="256" ht="15.75" customHeight="1" s="65">
      <c r="A256" s="62" t="n"/>
      <c r="D256" s="63" t="n"/>
      <c r="E256" s="63" t="n"/>
      <c r="F256" s="63" t="n"/>
      <c r="G256" s="63" t="n"/>
      <c r="H256" s="63" t="n"/>
      <c r="I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  <c r="AC256" s="63" t="n"/>
      <c r="AD256" s="63" t="n"/>
      <c r="AE256" s="63" t="n"/>
      <c r="AF256" s="63" t="n"/>
      <c r="AG256" s="63" t="n"/>
      <c r="AH256" s="63" t="n"/>
      <c r="AI256" s="63" t="n"/>
      <c r="AJ256" s="63" t="n"/>
      <c r="AK256" s="63" t="n"/>
      <c r="AM256" s="63" t="n"/>
    </row>
    <row r="257" ht="15.75" customHeight="1" s="65">
      <c r="A257" s="62" t="n"/>
      <c r="D257" s="63" t="n"/>
      <c r="E257" s="63" t="n"/>
      <c r="F257" s="63" t="n"/>
      <c r="G257" s="63" t="n"/>
      <c r="H257" s="63" t="n"/>
      <c r="I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  <c r="AC257" s="63" t="n"/>
      <c r="AD257" s="63" t="n"/>
      <c r="AE257" s="63" t="n"/>
      <c r="AF257" s="63" t="n"/>
      <c r="AG257" s="63" t="n"/>
      <c r="AH257" s="63" t="n"/>
      <c r="AI257" s="63" t="n"/>
      <c r="AJ257" s="63" t="n"/>
      <c r="AK257" s="63" t="n"/>
      <c r="AM257" s="63" t="n"/>
    </row>
    <row r="258" ht="15.75" customHeight="1" s="65">
      <c r="A258" s="62" t="n"/>
      <c r="D258" s="63" t="n"/>
      <c r="E258" s="63" t="n"/>
      <c r="F258" s="63" t="n"/>
      <c r="G258" s="63" t="n"/>
      <c r="H258" s="63" t="n"/>
      <c r="I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63" t="n"/>
      <c r="AE258" s="63" t="n"/>
      <c r="AF258" s="63" t="n"/>
      <c r="AG258" s="63" t="n"/>
      <c r="AH258" s="63" t="n"/>
      <c r="AI258" s="63" t="n"/>
      <c r="AJ258" s="63" t="n"/>
      <c r="AK258" s="63" t="n"/>
      <c r="AM258" s="63" t="n"/>
    </row>
    <row r="259" ht="15.75" customHeight="1" s="65">
      <c r="A259" s="62" t="n"/>
      <c r="D259" s="63" t="n"/>
      <c r="E259" s="63" t="n"/>
      <c r="F259" s="63" t="n"/>
      <c r="G259" s="63" t="n"/>
      <c r="H259" s="63" t="n"/>
      <c r="I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63" t="n"/>
      <c r="AE259" s="63" t="n"/>
      <c r="AF259" s="63" t="n"/>
      <c r="AG259" s="63" t="n"/>
      <c r="AH259" s="63" t="n"/>
      <c r="AI259" s="63" t="n"/>
      <c r="AJ259" s="63" t="n"/>
      <c r="AK259" s="63" t="n"/>
      <c r="AM259" s="63" t="n"/>
    </row>
    <row r="260" ht="15.75" customHeight="1" s="65">
      <c r="A260" s="62" t="n"/>
      <c r="D260" s="63" t="n"/>
      <c r="E260" s="63" t="n"/>
      <c r="F260" s="63" t="n"/>
      <c r="G260" s="63" t="n"/>
      <c r="H260" s="63" t="n"/>
      <c r="I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  <c r="AC260" s="63" t="n"/>
      <c r="AD260" s="63" t="n"/>
      <c r="AE260" s="63" t="n"/>
      <c r="AF260" s="63" t="n"/>
      <c r="AG260" s="63" t="n"/>
      <c r="AH260" s="63" t="n"/>
      <c r="AI260" s="63" t="n"/>
      <c r="AJ260" s="63" t="n"/>
      <c r="AK260" s="63" t="n"/>
      <c r="AM260" s="63" t="n"/>
    </row>
    <row r="261" ht="15.75" customHeight="1" s="65">
      <c r="A261" s="62" t="n"/>
      <c r="D261" s="63" t="n"/>
      <c r="E261" s="63" t="n"/>
      <c r="F261" s="63" t="n"/>
      <c r="G261" s="63" t="n"/>
      <c r="H261" s="63" t="n"/>
      <c r="I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  <c r="AC261" s="63" t="n"/>
      <c r="AD261" s="63" t="n"/>
      <c r="AE261" s="63" t="n"/>
      <c r="AF261" s="63" t="n"/>
      <c r="AG261" s="63" t="n"/>
      <c r="AH261" s="63" t="n"/>
      <c r="AI261" s="63" t="n"/>
      <c r="AJ261" s="63" t="n"/>
      <c r="AK261" s="63" t="n"/>
      <c r="AM261" s="63" t="n"/>
    </row>
    <row r="262" ht="15.75" customHeight="1" s="65">
      <c r="A262" s="62" t="n"/>
      <c r="D262" s="63" t="n"/>
      <c r="E262" s="63" t="n"/>
      <c r="F262" s="63" t="n"/>
      <c r="G262" s="63" t="n"/>
      <c r="H262" s="63" t="n"/>
      <c r="I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  <c r="AC262" s="63" t="n"/>
      <c r="AD262" s="63" t="n"/>
      <c r="AE262" s="63" t="n"/>
      <c r="AF262" s="63" t="n"/>
      <c r="AG262" s="63" t="n"/>
      <c r="AH262" s="63" t="n"/>
      <c r="AI262" s="63" t="n"/>
      <c r="AJ262" s="63" t="n"/>
      <c r="AK262" s="63" t="n"/>
      <c r="AM262" s="63" t="n"/>
    </row>
    <row r="263" ht="15.75" customHeight="1" s="65">
      <c r="A263" s="62" t="n"/>
      <c r="D263" s="63" t="n"/>
      <c r="E263" s="63" t="n"/>
      <c r="F263" s="63" t="n"/>
      <c r="G263" s="63" t="n"/>
      <c r="H263" s="63" t="n"/>
      <c r="I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63" t="n"/>
      <c r="AE263" s="63" t="n"/>
      <c r="AF263" s="63" t="n"/>
      <c r="AG263" s="63" t="n"/>
      <c r="AH263" s="63" t="n"/>
      <c r="AI263" s="63" t="n"/>
      <c r="AJ263" s="63" t="n"/>
      <c r="AK263" s="63" t="n"/>
      <c r="AM263" s="63" t="n"/>
    </row>
    <row r="264" ht="15.75" customHeight="1" s="65">
      <c r="A264" s="62" t="n"/>
      <c r="D264" s="63" t="n"/>
      <c r="E264" s="63" t="n"/>
      <c r="F264" s="63" t="n"/>
      <c r="G264" s="63" t="n"/>
      <c r="H264" s="63" t="n"/>
      <c r="I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  <c r="AC264" s="63" t="n"/>
      <c r="AD264" s="63" t="n"/>
      <c r="AE264" s="63" t="n"/>
      <c r="AF264" s="63" t="n"/>
      <c r="AG264" s="63" t="n"/>
      <c r="AH264" s="63" t="n"/>
      <c r="AI264" s="63" t="n"/>
      <c r="AJ264" s="63" t="n"/>
      <c r="AK264" s="63" t="n"/>
      <c r="AM264" s="63" t="n"/>
    </row>
    <row r="265" ht="15.75" customHeight="1" s="65">
      <c r="A265" s="62" t="n"/>
      <c r="D265" s="63" t="n"/>
      <c r="E265" s="63" t="n"/>
      <c r="F265" s="63" t="n"/>
      <c r="G265" s="63" t="n"/>
      <c r="H265" s="63" t="n"/>
      <c r="I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  <c r="AC265" s="63" t="n"/>
      <c r="AD265" s="63" t="n"/>
      <c r="AE265" s="63" t="n"/>
      <c r="AF265" s="63" t="n"/>
      <c r="AG265" s="63" t="n"/>
      <c r="AH265" s="63" t="n"/>
      <c r="AI265" s="63" t="n"/>
      <c r="AJ265" s="63" t="n"/>
      <c r="AK265" s="63" t="n"/>
      <c r="AM265" s="63" t="n"/>
    </row>
    <row r="266" ht="15.75" customHeight="1" s="65">
      <c r="D266" s="63" t="n"/>
      <c r="E266" s="63" t="n"/>
      <c r="F266" s="63" t="n"/>
      <c r="G266" s="63" t="n"/>
      <c r="H266" s="63" t="n"/>
      <c r="I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63" t="n"/>
      <c r="AE266" s="63" t="n"/>
      <c r="AF266" s="63" t="n"/>
      <c r="AG266" s="63" t="n"/>
      <c r="AH266" s="63" t="n"/>
      <c r="AI266" s="63" t="n"/>
      <c r="AJ266" s="63" t="n"/>
      <c r="AK266" s="63" t="n"/>
      <c r="AM266" s="63" t="n"/>
    </row>
    <row r="267" ht="15.75" customHeight="1" s="65">
      <c r="D267" s="63" t="n"/>
      <c r="E267" s="63" t="n"/>
      <c r="F267" s="63" t="n"/>
      <c r="G267" s="63" t="n"/>
      <c r="H267" s="63" t="n"/>
      <c r="I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63" t="n"/>
      <c r="AE267" s="63" t="n"/>
      <c r="AF267" s="63" t="n"/>
      <c r="AG267" s="63" t="n"/>
      <c r="AH267" s="63" t="n"/>
      <c r="AI267" s="63" t="n"/>
      <c r="AJ267" s="63" t="n"/>
      <c r="AK267" s="63" t="n"/>
      <c r="AM267" s="63" t="n"/>
    </row>
    <row r="268" ht="15.75" customHeight="1" s="65">
      <c r="D268" s="63" t="n"/>
      <c r="E268" s="63" t="n"/>
      <c r="F268" s="63" t="n"/>
      <c r="G268" s="63" t="n"/>
      <c r="H268" s="63" t="n"/>
      <c r="I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63" t="n"/>
      <c r="AE268" s="63" t="n"/>
      <c r="AF268" s="63" t="n"/>
      <c r="AG268" s="63" t="n"/>
      <c r="AH268" s="63" t="n"/>
      <c r="AI268" s="63" t="n"/>
      <c r="AJ268" s="63" t="n"/>
      <c r="AK268" s="63" t="n"/>
      <c r="AM268" s="63" t="n"/>
    </row>
    <row r="269" ht="15.75" customHeight="1" s="65">
      <c r="D269" s="63" t="n"/>
      <c r="E269" s="63" t="n"/>
      <c r="F269" s="63" t="n"/>
      <c r="G269" s="63" t="n"/>
      <c r="H269" s="63" t="n"/>
      <c r="I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63" t="n"/>
      <c r="AE269" s="63" t="n"/>
      <c r="AF269" s="63" t="n"/>
      <c r="AG269" s="63" t="n"/>
      <c r="AH269" s="63" t="n"/>
      <c r="AI269" s="63" t="n"/>
      <c r="AJ269" s="63" t="n"/>
      <c r="AK269" s="63" t="n"/>
      <c r="AM269" s="63" t="n"/>
    </row>
    <row r="270" ht="15.75" customHeight="1" s="65">
      <c r="D270" s="63" t="n"/>
      <c r="E270" s="63" t="n"/>
      <c r="F270" s="63" t="n"/>
      <c r="G270" s="63" t="n"/>
      <c r="H270" s="63" t="n"/>
      <c r="I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  <c r="AC270" s="63" t="n"/>
      <c r="AD270" s="63" t="n"/>
      <c r="AE270" s="63" t="n"/>
      <c r="AF270" s="63" t="n"/>
      <c r="AG270" s="63" t="n"/>
      <c r="AH270" s="63" t="n"/>
      <c r="AI270" s="63" t="n"/>
      <c r="AJ270" s="63" t="n"/>
      <c r="AK270" s="63" t="n"/>
      <c r="AM270" s="63" t="n"/>
    </row>
    <row r="271" ht="15.75" customHeight="1" s="65">
      <c r="D271" s="63" t="n"/>
      <c r="E271" s="63" t="n"/>
      <c r="F271" s="63" t="n"/>
      <c r="G271" s="63" t="n"/>
      <c r="H271" s="63" t="n"/>
      <c r="I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  <c r="AA271" s="63" t="n"/>
      <c r="AB271" s="63" t="n"/>
      <c r="AC271" s="63" t="n"/>
      <c r="AD271" s="63" t="n"/>
      <c r="AE271" s="63" t="n"/>
      <c r="AF271" s="63" t="n"/>
      <c r="AG271" s="63" t="n"/>
      <c r="AH271" s="63" t="n"/>
      <c r="AI271" s="63" t="n"/>
      <c r="AJ271" s="63" t="n"/>
      <c r="AK271" s="63" t="n"/>
      <c r="AM271" s="63" t="n"/>
    </row>
    <row r="272" ht="15.75" customHeight="1" s="65">
      <c r="D272" s="63" t="n"/>
      <c r="E272" s="63" t="n"/>
      <c r="F272" s="63" t="n"/>
      <c r="G272" s="63" t="n"/>
      <c r="H272" s="63" t="n"/>
      <c r="I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63" t="n"/>
      <c r="AE272" s="63" t="n"/>
      <c r="AF272" s="63" t="n"/>
      <c r="AG272" s="63" t="n"/>
      <c r="AH272" s="63" t="n"/>
      <c r="AI272" s="63" t="n"/>
      <c r="AJ272" s="63" t="n"/>
      <c r="AK272" s="63" t="n"/>
      <c r="AM272" s="63" t="n"/>
    </row>
    <row r="273" ht="15.75" customHeight="1" s="65">
      <c r="D273" s="63" t="n"/>
      <c r="E273" s="63" t="n"/>
      <c r="F273" s="63" t="n"/>
      <c r="G273" s="63" t="n"/>
      <c r="H273" s="63" t="n"/>
      <c r="I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63" t="n"/>
      <c r="AE273" s="63" t="n"/>
      <c r="AF273" s="63" t="n"/>
      <c r="AG273" s="63" t="n"/>
      <c r="AH273" s="63" t="n"/>
      <c r="AI273" s="63" t="n"/>
      <c r="AJ273" s="63" t="n"/>
      <c r="AK273" s="63" t="n"/>
      <c r="AM273" s="63" t="n"/>
    </row>
    <row r="274" ht="15.75" customHeight="1" s="65">
      <c r="D274" s="63" t="n"/>
      <c r="E274" s="63" t="n"/>
      <c r="F274" s="63" t="n"/>
      <c r="G274" s="63" t="n"/>
      <c r="H274" s="63" t="n"/>
      <c r="I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63" t="n"/>
      <c r="AE274" s="63" t="n"/>
      <c r="AF274" s="63" t="n"/>
      <c r="AG274" s="63" t="n"/>
      <c r="AH274" s="63" t="n"/>
      <c r="AI274" s="63" t="n"/>
      <c r="AJ274" s="63" t="n"/>
      <c r="AK274" s="63" t="n"/>
      <c r="AM274" s="63" t="n"/>
    </row>
    <row r="275" ht="15.75" customHeight="1" s="65">
      <c r="D275" s="63" t="n"/>
      <c r="E275" s="63" t="n"/>
      <c r="F275" s="63" t="n"/>
      <c r="G275" s="63" t="n"/>
      <c r="H275" s="63" t="n"/>
      <c r="I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63" t="n"/>
      <c r="AE275" s="63" t="n"/>
      <c r="AF275" s="63" t="n"/>
      <c r="AG275" s="63" t="n"/>
      <c r="AH275" s="63" t="n"/>
      <c r="AI275" s="63" t="n"/>
      <c r="AJ275" s="63" t="n"/>
      <c r="AK275" s="63" t="n"/>
      <c r="AM275" s="63" t="n"/>
    </row>
    <row r="276" ht="15.75" customHeight="1" s="65">
      <c r="D276" s="63" t="n"/>
      <c r="E276" s="63" t="n"/>
      <c r="F276" s="63" t="n"/>
      <c r="G276" s="63" t="n"/>
      <c r="H276" s="63" t="n"/>
      <c r="I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63" t="n"/>
      <c r="AE276" s="63" t="n"/>
      <c r="AF276" s="63" t="n"/>
      <c r="AG276" s="63" t="n"/>
      <c r="AH276" s="63" t="n"/>
      <c r="AI276" s="63" t="n"/>
      <c r="AJ276" s="63" t="n"/>
      <c r="AK276" s="63" t="n"/>
      <c r="AM276" s="63" t="n"/>
    </row>
    <row r="277" ht="15.75" customHeight="1" s="65">
      <c r="D277" s="63" t="n"/>
      <c r="E277" s="63" t="n"/>
      <c r="F277" s="63" t="n"/>
      <c r="G277" s="63" t="n"/>
      <c r="H277" s="63" t="n"/>
      <c r="I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  <c r="AC277" s="63" t="n"/>
      <c r="AD277" s="63" t="n"/>
      <c r="AE277" s="63" t="n"/>
      <c r="AF277" s="63" t="n"/>
      <c r="AG277" s="63" t="n"/>
      <c r="AH277" s="63" t="n"/>
      <c r="AI277" s="63" t="n"/>
      <c r="AJ277" s="63" t="n"/>
      <c r="AK277" s="63" t="n"/>
      <c r="AM277" s="63" t="n"/>
    </row>
    <row r="278" ht="15.75" customHeight="1" s="65">
      <c r="D278" s="63" t="n"/>
      <c r="E278" s="63" t="n"/>
      <c r="F278" s="63" t="n"/>
      <c r="G278" s="63" t="n"/>
      <c r="H278" s="63" t="n"/>
      <c r="I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63" t="n"/>
      <c r="AE278" s="63" t="n"/>
      <c r="AF278" s="63" t="n"/>
      <c r="AG278" s="63" t="n"/>
      <c r="AH278" s="63" t="n"/>
      <c r="AI278" s="63" t="n"/>
      <c r="AJ278" s="63" t="n"/>
      <c r="AK278" s="63" t="n"/>
      <c r="AM278" s="63" t="n"/>
    </row>
    <row r="279" ht="15.75" customHeight="1" s="65">
      <c r="D279" s="63" t="n"/>
      <c r="E279" s="63" t="n"/>
      <c r="F279" s="63" t="n"/>
      <c r="G279" s="63" t="n"/>
      <c r="H279" s="63" t="n"/>
      <c r="I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63" t="n"/>
      <c r="AE279" s="63" t="n"/>
      <c r="AF279" s="63" t="n"/>
      <c r="AG279" s="63" t="n"/>
      <c r="AH279" s="63" t="n"/>
      <c r="AI279" s="63" t="n"/>
      <c r="AJ279" s="63" t="n"/>
      <c r="AK279" s="63" t="n"/>
      <c r="AM279" s="63" t="n"/>
    </row>
    <row r="280" ht="15.75" customHeight="1" s="65">
      <c r="D280" s="63" t="n"/>
      <c r="E280" s="63" t="n"/>
      <c r="F280" s="63" t="n"/>
      <c r="G280" s="63" t="n"/>
      <c r="H280" s="63" t="n"/>
      <c r="I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  <c r="AC280" s="63" t="n"/>
      <c r="AD280" s="63" t="n"/>
      <c r="AE280" s="63" t="n"/>
      <c r="AF280" s="63" t="n"/>
      <c r="AG280" s="63" t="n"/>
      <c r="AH280" s="63" t="n"/>
      <c r="AI280" s="63" t="n"/>
      <c r="AJ280" s="63" t="n"/>
      <c r="AK280" s="63" t="n"/>
      <c r="AM280" s="63" t="n"/>
    </row>
    <row r="281" ht="15.75" customHeight="1" s="65">
      <c r="D281" s="63" t="n"/>
      <c r="E281" s="63" t="n"/>
      <c r="F281" s="63" t="n"/>
      <c r="G281" s="63" t="n"/>
      <c r="H281" s="63" t="n"/>
      <c r="I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63" t="n"/>
      <c r="AE281" s="63" t="n"/>
      <c r="AF281" s="63" t="n"/>
      <c r="AG281" s="63" t="n"/>
      <c r="AH281" s="63" t="n"/>
      <c r="AI281" s="63" t="n"/>
      <c r="AJ281" s="63" t="n"/>
      <c r="AK281" s="63" t="n"/>
      <c r="AM281" s="63" t="n"/>
    </row>
    <row r="282" ht="15.75" customHeight="1" s="65">
      <c r="D282" s="63" t="n"/>
      <c r="E282" s="63" t="n"/>
      <c r="F282" s="63" t="n"/>
      <c r="G282" s="63" t="n"/>
      <c r="H282" s="63" t="n"/>
      <c r="I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63" t="n"/>
      <c r="AE282" s="63" t="n"/>
      <c r="AF282" s="63" t="n"/>
      <c r="AG282" s="63" t="n"/>
      <c r="AH282" s="63" t="n"/>
      <c r="AI282" s="63" t="n"/>
      <c r="AJ282" s="63" t="n"/>
      <c r="AK282" s="63" t="n"/>
      <c r="AM282" s="63" t="n"/>
    </row>
    <row r="283" ht="15.75" customHeight="1" s="65">
      <c r="D283" s="63" t="n"/>
      <c r="E283" s="63" t="n"/>
      <c r="F283" s="63" t="n"/>
      <c r="G283" s="63" t="n"/>
      <c r="H283" s="63" t="n"/>
      <c r="I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  <c r="AC283" s="63" t="n"/>
      <c r="AD283" s="63" t="n"/>
      <c r="AE283" s="63" t="n"/>
      <c r="AF283" s="63" t="n"/>
      <c r="AG283" s="63" t="n"/>
      <c r="AH283" s="63" t="n"/>
      <c r="AI283" s="63" t="n"/>
      <c r="AJ283" s="63" t="n"/>
      <c r="AK283" s="63" t="n"/>
      <c r="AM283" s="63" t="n"/>
    </row>
    <row r="284" ht="15.75" customHeight="1" s="65">
      <c r="D284" s="63" t="n"/>
      <c r="E284" s="63" t="n"/>
      <c r="F284" s="63" t="n"/>
      <c r="G284" s="63" t="n"/>
      <c r="H284" s="63" t="n"/>
      <c r="I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  <c r="AC284" s="63" t="n"/>
      <c r="AD284" s="63" t="n"/>
      <c r="AE284" s="63" t="n"/>
      <c r="AF284" s="63" t="n"/>
      <c r="AG284" s="63" t="n"/>
      <c r="AH284" s="63" t="n"/>
      <c r="AI284" s="63" t="n"/>
      <c r="AJ284" s="63" t="n"/>
      <c r="AK284" s="63" t="n"/>
      <c r="AM284" s="63" t="n"/>
    </row>
    <row r="285" ht="15.75" customHeight="1" s="65">
      <c r="D285" s="63" t="n"/>
      <c r="E285" s="63" t="n"/>
      <c r="F285" s="63" t="n"/>
      <c r="G285" s="63" t="n"/>
      <c r="H285" s="63" t="n"/>
      <c r="I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63" t="n"/>
      <c r="AE285" s="63" t="n"/>
      <c r="AF285" s="63" t="n"/>
      <c r="AG285" s="63" t="n"/>
      <c r="AH285" s="63" t="n"/>
      <c r="AI285" s="63" t="n"/>
      <c r="AJ285" s="63" t="n"/>
      <c r="AK285" s="63" t="n"/>
      <c r="AM285" s="63" t="n"/>
    </row>
    <row r="286" ht="15.75" customHeight="1" s="65">
      <c r="D286" s="63" t="n"/>
      <c r="E286" s="63" t="n"/>
      <c r="F286" s="63" t="n"/>
      <c r="G286" s="63" t="n"/>
      <c r="H286" s="63" t="n"/>
      <c r="I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  <c r="AC286" s="63" t="n"/>
      <c r="AD286" s="63" t="n"/>
      <c r="AE286" s="63" t="n"/>
      <c r="AF286" s="63" t="n"/>
      <c r="AG286" s="63" t="n"/>
      <c r="AH286" s="63" t="n"/>
      <c r="AI286" s="63" t="n"/>
      <c r="AJ286" s="63" t="n"/>
      <c r="AK286" s="63" t="n"/>
      <c r="AM286" s="63" t="n"/>
    </row>
    <row r="287" ht="15.75" customHeight="1" s="65">
      <c r="D287" s="63" t="n"/>
      <c r="E287" s="63" t="n"/>
      <c r="F287" s="63" t="n"/>
      <c r="G287" s="63" t="n"/>
      <c r="H287" s="63" t="n"/>
      <c r="I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  <c r="AC287" s="63" t="n"/>
      <c r="AD287" s="63" t="n"/>
      <c r="AE287" s="63" t="n"/>
      <c r="AF287" s="63" t="n"/>
      <c r="AG287" s="63" t="n"/>
      <c r="AH287" s="63" t="n"/>
      <c r="AI287" s="63" t="n"/>
      <c r="AJ287" s="63" t="n"/>
      <c r="AK287" s="63" t="n"/>
      <c r="AM287" s="63" t="n"/>
    </row>
    <row r="288" ht="15.75" customHeight="1" s="65">
      <c r="D288" s="63" t="n"/>
      <c r="E288" s="63" t="n"/>
      <c r="F288" s="63" t="n"/>
      <c r="G288" s="63" t="n"/>
      <c r="H288" s="63" t="n"/>
      <c r="I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  <c r="AC288" s="63" t="n"/>
      <c r="AD288" s="63" t="n"/>
      <c r="AE288" s="63" t="n"/>
      <c r="AF288" s="63" t="n"/>
      <c r="AG288" s="63" t="n"/>
      <c r="AH288" s="63" t="n"/>
      <c r="AI288" s="63" t="n"/>
      <c r="AJ288" s="63" t="n"/>
      <c r="AK288" s="63" t="n"/>
      <c r="AM288" s="63" t="n"/>
    </row>
    <row r="289" ht="15.75" customHeight="1" s="65">
      <c r="D289" s="63" t="n"/>
      <c r="E289" s="63" t="n"/>
      <c r="F289" s="63" t="n"/>
      <c r="G289" s="63" t="n"/>
      <c r="H289" s="63" t="n"/>
      <c r="I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63" t="n"/>
      <c r="AE289" s="63" t="n"/>
      <c r="AF289" s="63" t="n"/>
      <c r="AG289" s="63" t="n"/>
      <c r="AH289" s="63" t="n"/>
      <c r="AI289" s="63" t="n"/>
      <c r="AJ289" s="63" t="n"/>
      <c r="AK289" s="63" t="n"/>
      <c r="AM289" s="63" t="n"/>
    </row>
    <row r="290" ht="15.75" customHeight="1" s="65">
      <c r="D290" s="63" t="n"/>
      <c r="E290" s="63" t="n"/>
      <c r="F290" s="63" t="n"/>
      <c r="G290" s="63" t="n"/>
      <c r="H290" s="63" t="n"/>
      <c r="I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63" t="n"/>
      <c r="AE290" s="63" t="n"/>
      <c r="AF290" s="63" t="n"/>
      <c r="AG290" s="63" t="n"/>
      <c r="AH290" s="63" t="n"/>
      <c r="AI290" s="63" t="n"/>
      <c r="AJ290" s="63" t="n"/>
      <c r="AK290" s="63" t="n"/>
      <c r="AM290" s="63" t="n"/>
    </row>
    <row r="291" ht="15.75" customHeight="1" s="65">
      <c r="D291" s="63" t="n"/>
      <c r="E291" s="63" t="n"/>
      <c r="F291" s="63" t="n"/>
      <c r="G291" s="63" t="n"/>
      <c r="H291" s="63" t="n"/>
      <c r="I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63" t="n"/>
      <c r="AE291" s="63" t="n"/>
      <c r="AF291" s="63" t="n"/>
      <c r="AG291" s="63" t="n"/>
      <c r="AH291" s="63" t="n"/>
      <c r="AI291" s="63" t="n"/>
      <c r="AJ291" s="63" t="n"/>
      <c r="AK291" s="63" t="n"/>
      <c r="AM291" s="63" t="n"/>
    </row>
    <row r="292" ht="15.75" customHeight="1" s="65">
      <c r="D292" s="63" t="n"/>
      <c r="E292" s="63" t="n"/>
      <c r="F292" s="63" t="n"/>
      <c r="G292" s="63" t="n"/>
      <c r="H292" s="63" t="n"/>
      <c r="I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63" t="n"/>
      <c r="AE292" s="63" t="n"/>
      <c r="AF292" s="63" t="n"/>
      <c r="AG292" s="63" t="n"/>
      <c r="AH292" s="63" t="n"/>
      <c r="AI292" s="63" t="n"/>
      <c r="AJ292" s="63" t="n"/>
      <c r="AK292" s="63" t="n"/>
      <c r="AM292" s="63" t="n"/>
    </row>
    <row r="293" ht="15.75" customHeight="1" s="65">
      <c r="D293" s="63" t="n"/>
      <c r="E293" s="63" t="n"/>
      <c r="F293" s="63" t="n"/>
      <c r="G293" s="63" t="n"/>
      <c r="H293" s="63" t="n"/>
      <c r="I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  <c r="AD293" s="63" t="n"/>
      <c r="AE293" s="63" t="n"/>
      <c r="AF293" s="63" t="n"/>
      <c r="AG293" s="63" t="n"/>
      <c r="AH293" s="63" t="n"/>
      <c r="AI293" s="63" t="n"/>
      <c r="AJ293" s="63" t="n"/>
      <c r="AK293" s="63" t="n"/>
      <c r="AM293" s="63" t="n"/>
    </row>
    <row r="294" ht="15.75" customHeight="1" s="65">
      <c r="D294" s="63" t="n"/>
      <c r="E294" s="63" t="n"/>
      <c r="F294" s="63" t="n"/>
      <c r="G294" s="63" t="n"/>
      <c r="H294" s="63" t="n"/>
      <c r="I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63" t="n"/>
      <c r="AE294" s="63" t="n"/>
      <c r="AF294" s="63" t="n"/>
      <c r="AG294" s="63" t="n"/>
      <c r="AH294" s="63" t="n"/>
      <c r="AI294" s="63" t="n"/>
      <c r="AJ294" s="63" t="n"/>
      <c r="AK294" s="63" t="n"/>
      <c r="AM294" s="63" t="n"/>
    </row>
    <row r="295" ht="15.75" customHeight="1" s="65">
      <c r="D295" s="63" t="n"/>
      <c r="E295" s="63" t="n"/>
      <c r="F295" s="63" t="n"/>
      <c r="G295" s="63" t="n"/>
      <c r="H295" s="63" t="n"/>
      <c r="I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63" t="n"/>
      <c r="AE295" s="63" t="n"/>
      <c r="AF295" s="63" t="n"/>
      <c r="AG295" s="63" t="n"/>
      <c r="AH295" s="63" t="n"/>
      <c r="AI295" s="63" t="n"/>
      <c r="AJ295" s="63" t="n"/>
      <c r="AK295" s="63" t="n"/>
      <c r="AM295" s="63" t="n"/>
    </row>
    <row r="296" ht="15.75" customHeight="1" s="65">
      <c r="D296" s="63" t="n"/>
      <c r="E296" s="63" t="n"/>
      <c r="F296" s="63" t="n"/>
      <c r="G296" s="63" t="n"/>
      <c r="H296" s="63" t="n"/>
      <c r="I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63" t="n"/>
      <c r="AE296" s="63" t="n"/>
      <c r="AF296" s="63" t="n"/>
      <c r="AG296" s="63" t="n"/>
      <c r="AH296" s="63" t="n"/>
      <c r="AI296" s="63" t="n"/>
      <c r="AJ296" s="63" t="n"/>
      <c r="AK296" s="63" t="n"/>
      <c r="AM296" s="63" t="n"/>
    </row>
    <row r="297" ht="15.75" customHeight="1" s="65">
      <c r="D297" s="63" t="n"/>
      <c r="E297" s="63" t="n"/>
      <c r="F297" s="63" t="n"/>
      <c r="G297" s="63" t="n"/>
      <c r="H297" s="63" t="n"/>
      <c r="I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63" t="n"/>
      <c r="AE297" s="63" t="n"/>
      <c r="AF297" s="63" t="n"/>
      <c r="AG297" s="63" t="n"/>
      <c r="AH297" s="63" t="n"/>
      <c r="AI297" s="63" t="n"/>
      <c r="AJ297" s="63" t="n"/>
      <c r="AK297" s="63" t="n"/>
      <c r="AM297" s="63" t="n"/>
    </row>
    <row r="298" ht="15.75" customHeight="1" s="65">
      <c r="D298" s="63" t="n"/>
      <c r="E298" s="63" t="n"/>
      <c r="F298" s="63" t="n"/>
      <c r="G298" s="63" t="n"/>
      <c r="H298" s="63" t="n"/>
      <c r="I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63" t="n"/>
      <c r="AE298" s="63" t="n"/>
      <c r="AF298" s="63" t="n"/>
      <c r="AG298" s="63" t="n"/>
      <c r="AH298" s="63" t="n"/>
      <c r="AI298" s="63" t="n"/>
      <c r="AJ298" s="63" t="n"/>
      <c r="AK298" s="63" t="n"/>
      <c r="AM298" s="63" t="n"/>
    </row>
    <row r="299" ht="15.75" customHeight="1" s="65">
      <c r="D299" s="63" t="n"/>
      <c r="E299" s="63" t="n"/>
      <c r="F299" s="63" t="n"/>
      <c r="G299" s="63" t="n"/>
      <c r="H299" s="63" t="n"/>
      <c r="I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63" t="n"/>
      <c r="AE299" s="63" t="n"/>
      <c r="AF299" s="63" t="n"/>
      <c r="AG299" s="63" t="n"/>
      <c r="AH299" s="63" t="n"/>
      <c r="AI299" s="63" t="n"/>
      <c r="AJ299" s="63" t="n"/>
      <c r="AK299" s="63" t="n"/>
      <c r="AM299" s="63" t="n"/>
    </row>
    <row r="300" ht="15.75" customHeight="1" s="65">
      <c r="D300" s="63" t="n"/>
      <c r="E300" s="63" t="n"/>
      <c r="F300" s="63" t="n"/>
      <c r="G300" s="63" t="n"/>
      <c r="H300" s="63" t="n"/>
      <c r="I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  <c r="AC300" s="63" t="n"/>
      <c r="AD300" s="63" t="n"/>
      <c r="AE300" s="63" t="n"/>
      <c r="AF300" s="63" t="n"/>
      <c r="AG300" s="63" t="n"/>
      <c r="AH300" s="63" t="n"/>
      <c r="AI300" s="63" t="n"/>
      <c r="AJ300" s="63" t="n"/>
      <c r="AK300" s="63" t="n"/>
      <c r="AM300" s="63" t="n"/>
    </row>
    <row r="301" ht="15.75" customHeight="1" s="65">
      <c r="D301" s="63" t="n"/>
      <c r="E301" s="63" t="n"/>
      <c r="F301" s="63" t="n"/>
      <c r="G301" s="63" t="n"/>
      <c r="H301" s="63" t="n"/>
      <c r="I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  <c r="AC301" s="63" t="n"/>
      <c r="AD301" s="63" t="n"/>
      <c r="AE301" s="63" t="n"/>
      <c r="AF301" s="63" t="n"/>
      <c r="AG301" s="63" t="n"/>
      <c r="AH301" s="63" t="n"/>
      <c r="AI301" s="63" t="n"/>
      <c r="AJ301" s="63" t="n"/>
      <c r="AK301" s="63" t="n"/>
      <c r="AM301" s="63" t="n"/>
    </row>
    <row r="302" ht="15.75" customHeight="1" s="65">
      <c r="D302" s="63" t="n"/>
      <c r="E302" s="63" t="n"/>
      <c r="F302" s="63" t="n"/>
      <c r="G302" s="63" t="n"/>
      <c r="H302" s="63" t="n"/>
      <c r="I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  <c r="AC302" s="63" t="n"/>
      <c r="AD302" s="63" t="n"/>
      <c r="AE302" s="63" t="n"/>
      <c r="AF302" s="63" t="n"/>
      <c r="AG302" s="63" t="n"/>
      <c r="AH302" s="63" t="n"/>
      <c r="AI302" s="63" t="n"/>
      <c r="AJ302" s="63" t="n"/>
      <c r="AK302" s="63" t="n"/>
      <c r="AM302" s="63" t="n"/>
    </row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autoFilter ref="$A$2:$AN$302"/>
  <mergeCells count="10">
    <mergeCell ref="G1:I1"/>
    <mergeCell ref="AK1:AM1"/>
    <mergeCell ref="AE1:AJ1"/>
    <mergeCell ref="Z1:AD1"/>
    <mergeCell ref="T1:X1"/>
    <mergeCell ref="C1:F1"/>
    <mergeCell ref="A1:B1"/>
    <mergeCell ref="N1:O1"/>
    <mergeCell ref="J1:M1"/>
    <mergeCell ref="P1:S1"/>
  </mergeCells>
  <dataValidations count="23">
    <dataValidation sqref="R3:R302 W3:W302" showDropDown="0" showInputMessage="1" showErrorMessage="1" allowBlank="1" prompt="Valor fora da lista - Escolhe da lista (ou acrescenta o valor na folha Listas)." type="list">
      <formula1>Listas!$M$3:$M$60</formula1>
    </dataValidation>
    <dataValidation sqref="AM3:AM302" showDropDown="0" showInputMessage="1" showErrorMessage="1" allowBlank="1" prompt="Valor fora da lista - Escolhe da lista (ou acrescenta o valor na folha Listas)." type="list">
      <formula1>Listas!$W$3:$W$60</formula1>
    </dataValidation>
    <dataValidation sqref="Q3:Q302 V3:V302 AF3:AF302 AI3:AI302" showDropDown="0" showInputMessage="1" showErrorMessage="1" allowBlank="1" prompt="Valor fora da lista - Escolhe da lista (ou acrescenta o valor na folha Listas)." type="list">
      <formula1>Listas!$L$3:$L$60</formula1>
    </dataValidation>
    <dataValidation sqref="M3:M302" showDropDown="0" showInputMessage="1" showErrorMessage="1" allowBlank="1" prompt="Valor fora da lista - Escolhe da lista (ou acrescenta o valor na folha Listas)." type="list">
      <formula1>Listas!$G$3:$G$60</formula1>
    </dataValidation>
    <dataValidation sqref="T3:U302" showDropDown="0" showInputMessage="1" showErrorMessage="0" allowBlank="1" prompt="Valor fora da lista - Escolhe da lista (ou acrescenta o valor na folha Listas)." type="list">
      <formula1>Listas!$K$3:$K$60</formula1>
    </dataValidation>
    <dataValidation sqref="AC3:AC302" showDropDown="0" showInputMessage="1" showErrorMessage="1" allowBlank="1" prompt="Valor fora da lista - Escolhe da lista (ou acrescenta o valor na folha Listas)." type="list">
      <formula1>Listas!$S$3:$S$60</formula1>
    </dataValidation>
    <dataValidation sqref="AK3:AK302" showDropDown="0" showInputMessage="1" showErrorMessage="0" allowBlank="1" prompt="Valor fora da lista - Escolhe da lista (ou acrescenta o valor na folha Listas)." type="list">
      <formula1>Listas!$V$3:$V$60</formula1>
    </dataValidation>
    <dataValidation sqref="D3:D302" showDropDown="0" showInputMessage="1" showErrorMessage="1" allowBlank="1" prompt="Valor fora da lista - Escolhe da lista (ou acrescenta o valor na folha Listas)." type="list">
      <formula1>Listas!$A$3:$A$60</formula1>
    </dataValidation>
    <dataValidation sqref="F3:F302" showDropDown="0" showInputMessage="1" showErrorMessage="1" allowBlank="1" prompt="Valor fora da lista - Escolhe da lista (ou acrescenta o valor na folha Listas)." type="list">
      <formula1>Listas!$C$3:$C$60</formula1>
    </dataValidation>
    <dataValidation sqref="AB3:AB302" showDropDown="0" showInputMessage="1" showErrorMessage="1" allowBlank="1" prompt="Valor fora da lista - Escolhe da lista (ou acrescenta o valor na folha Listas)." type="list">
      <formula1>Listas!$R$3:$R$60</formula1>
    </dataValidation>
    <dataValidation sqref="AH3:AH302" showDropDown="0" showInputMessage="1" showErrorMessage="1" allowBlank="1" prompt="Valor fora da lista - Escolhe da lista (ou acrescenta o valor na folha Listas)." type="list">
      <formula1>Listas!$U$3:$U$60</formula1>
    </dataValidation>
    <dataValidation sqref="P3:P302" showDropDown="0" showInputMessage="1" showErrorMessage="1" allowBlank="1" prompt="Valor fora da lista - Escolhe da lista (ou acrescenta o valor na folha Listas)." type="list">
      <formula1>Listas!$J$3:$J$60</formula1>
    </dataValidation>
    <dataValidation sqref="O3:O302" showDropDown="0" showInputMessage="1" showErrorMessage="1" allowBlank="1" prompt="Valor fora da lista - Escolhe da lista (ou acrescenta o valor na folha Listas)." type="list">
      <formula1>Listas!$I$3:$I$60</formula1>
    </dataValidation>
    <dataValidation sqref="AA3:AA302" showDropDown="0" showInputMessage="1" showErrorMessage="1" allowBlank="1" prompt="Valor fora da lista - Escolhe da lista (ou acrescenta o valor na folha Listas)." type="list">
      <formula1>Listas!$Q$3:$Q$60</formula1>
    </dataValidation>
    <dataValidation sqref="AE3:AE302" showDropDown="0" showInputMessage="1" showErrorMessage="1" allowBlank="1" prompt="Valor fora da lista - Escolhe da lista (ou acrescenta o valor na folha Listas)." type="list">
      <formula1>Listas!$T$3:$T$60</formula1>
    </dataValidation>
    <dataValidation sqref="G3:G302" showDropDown="0" showInputMessage="1" showErrorMessage="1" allowBlank="1" prompt="Valor fora da lista - Escolhe da lista (ou acrescenta o valor na folha Listas)." type="list">
      <formula1>Listas!$D$3:$D$60</formula1>
    </dataValidation>
    <dataValidation sqref="Z3:Z302" showDropDown="0" showInputMessage="1" showErrorMessage="1" allowBlank="1" prompt="Valor fora da lista - Escolhe da lista (ou acrescenta o valor na folha Listas)." type="list">
      <formula1>Listas!$P$3:$P$60</formula1>
    </dataValidation>
    <dataValidation sqref="Y3:Y302" showDropDown="0" showInputMessage="1" showErrorMessage="0" allowBlank="1" prompt="Valor fora da lista - Escolhe da lista (ou acrescenta o valor na folha Listas)." type="list">
      <formula1>Listas!$O$3:$O$60</formula1>
    </dataValidation>
    <dataValidation sqref="I3:I302" showDropDown="0" showInputMessage="1" showErrorMessage="0" allowBlank="1" prompt="Valor fora da lista - Escolhe da lista (ou acrescenta o valor na folha Listas)." type="list">
      <formula1>Listas!$F$3:$F$60</formula1>
    </dataValidation>
    <dataValidation sqref="N3:N302" showDropDown="0" showInputMessage="1" showErrorMessage="1" allowBlank="1" prompt="Valor fora da lista - Escolhe da lista (ou acrescenta o valor na folha Listas)." type="list">
      <formula1>Listas!$H$3:$H$60</formula1>
    </dataValidation>
    <dataValidation sqref="H3:H302" showDropDown="0" showInputMessage="1" showErrorMessage="1" allowBlank="1" prompt="Valor fora da lista - Escolhe da lista (ou acrescenta o valor na folha Listas)." type="list">
      <formula1>Listas!$E$3:$E$60</formula1>
    </dataValidation>
    <dataValidation sqref="S3:S302 X3:X302 AD3:AD302 AG3:AG302 AJ3:AJ302" showDropDown="0" showInputMessage="1" showErrorMessage="1" allowBlank="1" prompt="Valor fora da lista - Escolhe da lista (ou acrescenta o valor na folha Listas)." type="list">
      <formula1>Listas!$N$3:$N$60</formula1>
    </dataValidation>
    <dataValidation sqref="E3:E302" showDropDown="0" showInputMessage="1" showErrorMessage="1" allowBlank="1" prompt="Valor fora da lista - Escolhe da lista (ou acrescenta o valor na folha Listas)." type="list">
      <formula1>Listas!$B$3:$B$60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6FA8DC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4.43" defaultRowHeight="15" customHeight="1" outlineLevelCol="0"/>
  <cols>
    <col width="34" customWidth="1" style="65" min="1" max="2"/>
    <col width="10" customWidth="1" style="65" min="3" max="3"/>
    <col width="8.710000000000001" customWidth="1" style="65" min="4" max="26"/>
  </cols>
  <sheetData>
    <row r="1">
      <c r="A1" s="2" t="inlineStr">
        <is>
          <t>Formato da Tabela 18 do RAA – atividade em regime de urgência</t>
        </is>
      </c>
    </row>
    <row r="3">
      <c r="A3" s="4" t="n"/>
      <c r="B3" s="66" t="n"/>
      <c r="C3" s="4" t="inlineStr">
        <is>
          <t>TOTAL</t>
        </is>
      </c>
    </row>
    <row r="4" ht="15" customHeight="1" s="65">
      <c r="A4" s="68" t="inlineStr">
        <is>
          <t>Atividade dentro do BO</t>
        </is>
      </c>
      <c r="B4" s="66" t="n"/>
      <c r="C4" s="18">
        <f>COUNTA('Casuística'!$H$3:$H$302)-COUNTIFS('Casuística'!$H$3:$H$302,"=Fora do Bloco")-COUNTIFS('Casuística'!$H$3:$H$302,"=Doente Crítico")</f>
        <v/>
      </c>
    </row>
    <row r="5" ht="15" customHeight="1" s="65">
      <c r="A5" s="68" t="inlineStr">
        <is>
          <t>Atividade fora do BO</t>
        </is>
      </c>
      <c r="B5" s="66" t="n"/>
      <c r="C5" s="18">
        <f>C6+C7</f>
        <v/>
      </c>
    </row>
    <row r="6" ht="15" customHeight="1" s="65">
      <c r="A6" s="36" t="inlineStr">
        <is>
          <t xml:space="preserve">    Doente Crítico</t>
        </is>
      </c>
      <c r="B6" s="66" t="n"/>
      <c r="C6" s="24">
        <f>COUNTIFS('Casuística'!$H$3:$H$302,"=Doente Crítico")</f>
        <v/>
      </c>
    </row>
    <row r="7" ht="15" customHeight="1" s="65">
      <c r="A7" s="36" t="inlineStr">
        <is>
          <t xml:space="preserve">    Unidade de Técnicas de Gastroenterologia</t>
        </is>
      </c>
      <c r="B7" s="66" t="n"/>
      <c r="C7" s="24">
        <f>COUNTIFS('Casuística'!$H$3:$H$302,"=Fora do Bloco",'Casuística'!$I$3:$I$302,"=Gastroenterologia")</f>
        <v/>
      </c>
    </row>
    <row r="8" ht="15" customHeight="1" s="65">
      <c r="A8" s="69" t="inlineStr">
        <is>
          <t>TOTAL</t>
        </is>
      </c>
      <c r="B8" s="66" t="n"/>
      <c r="C8" s="31">
        <f>C4+C5</f>
        <v/>
      </c>
    </row>
    <row r="10">
      <c r="A10" s="1" t="inlineStr">
        <is>
          <t>Doente Crítico – detalhe</t>
        </is>
      </c>
    </row>
    <row r="11">
      <c r="A11" s="4" t="inlineStr">
        <is>
          <t>Procedimento</t>
        </is>
      </c>
      <c r="B11" s="4" t="inlineStr">
        <is>
          <t>Local</t>
        </is>
      </c>
      <c r="C11" s="4" t="inlineStr">
        <is>
          <t>Data</t>
        </is>
      </c>
    </row>
    <row r="12">
      <c r="A12" s="36" t="inlineStr">
        <is>
          <t>DC</t>
        </is>
      </c>
      <c r="B12" s="38" t="n"/>
      <c r="C12" s="39" t="n">
        <v>46028</v>
      </c>
    </row>
    <row r="13">
      <c r="A13" s="36" t="inlineStr">
        <is>
          <t>entubacao OT para traqueo eventual se necessário</t>
        </is>
      </c>
      <c r="B13" s="38" t="inlineStr">
        <is>
          <t>UCI Pediátrica</t>
        </is>
      </c>
      <c r="C13" s="39" t="n">
        <v>46046</v>
      </c>
    </row>
    <row r="14">
      <c r="A14" s="36" t="inlineStr">
        <is>
          <t>levar à tc pós op</t>
        </is>
      </c>
      <c r="B14" s="38" t="n"/>
      <c r="C14" s="39" t="n">
        <v>46054</v>
      </c>
    </row>
    <row r="15">
      <c r="A15" s="36" t="inlineStr">
        <is>
          <t>Estabilizar</t>
        </is>
      </c>
      <c r="B15" s="38" t="n"/>
      <c r="C15" s="39" t="n">
        <v>46109</v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6">
    <mergeCell ref="A4:B4"/>
    <mergeCell ref="A7:B7"/>
    <mergeCell ref="A5:B5"/>
    <mergeCell ref="A8:B8"/>
    <mergeCell ref="A3:B3"/>
    <mergeCell ref="A6:B6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6FA8DC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14.43" defaultRowHeight="15" customHeight="1" outlineLevelCol="0"/>
  <cols>
    <col width="16" customWidth="1" style="65" min="1" max="1"/>
    <col width="18" customWidth="1" style="65" min="2" max="2"/>
    <col width="14" customWidth="1" style="65" min="3" max="3"/>
    <col width="6.57" customWidth="1" style="65" min="4" max="15"/>
    <col width="8.710000000000001" customWidth="1" style="65" min="16" max="26"/>
  </cols>
  <sheetData>
    <row r="1">
      <c r="A1" s="2" t="inlineStr">
        <is>
          <t>Formato da Tabela 19 do RAA (atos anestésicos; o doente crítico fica na Tabela Atividade). Cada coluna soma-se à coluna da mesma especialidade na casuística global (Tabela 2); "Fora do Bloco" soma-se a AFBO.</t>
        </is>
      </c>
    </row>
    <row r="3" ht="120" customHeight="1" s="65">
      <c r="A3" s="4" t="inlineStr">
        <is>
          <t>ANESTESIOLOGIA DE URGÊNCIA</t>
        </is>
      </c>
      <c r="B3" s="67" t="n"/>
      <c r="C3" s="66" t="n"/>
      <c r="D3" s="11" t="inlineStr">
        <is>
          <t>C. Geral</t>
        </is>
      </c>
      <c r="E3" s="11" t="inlineStr">
        <is>
          <t>C. Pediátrica</t>
        </is>
      </c>
      <c r="F3" s="11" t="inlineStr">
        <is>
          <t>C. Plástica</t>
        </is>
      </c>
      <c r="G3" s="11" t="inlineStr">
        <is>
          <t>C. Vascular</t>
        </is>
      </c>
      <c r="H3" s="11" t="inlineStr">
        <is>
          <t>Ginecologia</t>
        </is>
      </c>
      <c r="I3" s="11" t="inlineStr">
        <is>
          <t>Neurocirurgia</t>
        </is>
      </c>
      <c r="J3" s="11" t="inlineStr">
        <is>
          <t>Oftalmologia</t>
        </is>
      </c>
      <c r="K3" s="11" t="inlineStr">
        <is>
          <t>ORL</t>
        </is>
      </c>
      <c r="L3" s="11" t="inlineStr">
        <is>
          <t>Ortopedia</t>
        </is>
      </c>
      <c r="M3" s="11" t="inlineStr">
        <is>
          <t>Urologia</t>
        </is>
      </c>
      <c r="N3" s="11" t="inlineStr">
        <is>
          <t>U.T. Gastro / Fora do BO</t>
        </is>
      </c>
      <c r="O3" s="13" t="inlineStr">
        <is>
          <t>TOTAL</t>
        </is>
      </c>
    </row>
    <row r="4" ht="15" customHeight="1" s="65">
      <c r="A4" s="70" t="inlineStr">
        <is>
          <t>TOTAL POR ESPECIALIDADE</t>
        </is>
      </c>
      <c r="B4" s="67" t="n"/>
      <c r="C4" s="66" t="n"/>
      <c r="D4" s="18">
        <f>COUNTIFS('Casuística'!$H$3:$H$302,"=Cirurgia Geral")</f>
        <v/>
      </c>
      <c r="E4" s="18">
        <f>COUNTIFS('Casuística'!$H$3:$H$302,"=Cirurgia Pediátrica")</f>
        <v/>
      </c>
      <c r="F4" s="18">
        <f>COUNTIFS('Casuística'!$H$3:$H$302,"=Cirurgia Plástica")</f>
        <v/>
      </c>
      <c r="G4" s="18">
        <f>COUNTIFS('Casuística'!$H$3:$H$302,"=Cirurgia Vascular")</f>
        <v/>
      </c>
      <c r="H4" s="18">
        <f>COUNTIFS('Casuística'!$H$3:$H$302,"=Ginecologia/Obstetrícia")</f>
        <v/>
      </c>
      <c r="I4" s="18">
        <f>COUNTIFS('Casuística'!$H$3:$H$302,"=Neurocirurgia")</f>
        <v/>
      </c>
      <c r="J4" s="18">
        <f>COUNTIFS('Casuística'!$H$3:$H$302,"=Oftalmologia")</f>
        <v/>
      </c>
      <c r="K4" s="18">
        <f>COUNTIFS('Casuística'!$H$3:$H$302,"=ORL")</f>
        <v/>
      </c>
      <c r="L4" s="18">
        <f>COUNTIFS('Casuística'!$H$3:$H$302,"=Ortopedia")</f>
        <v/>
      </c>
      <c r="M4" s="18">
        <f>COUNTIFS('Casuística'!$H$3:$H$302,"=Urologia")</f>
        <v/>
      </c>
      <c r="N4" s="18">
        <f>COUNTIFS('Casuística'!$H$3:$H$302,"=Fora do Bloco")</f>
        <v/>
      </c>
      <c r="O4" s="18">
        <f>SUM(D4:N4)</f>
        <v/>
      </c>
    </row>
    <row r="5" ht="15" customHeight="1" s="65">
      <c r="A5" s="47" t="inlineStr">
        <is>
          <t>REGIME</t>
        </is>
      </c>
      <c r="B5" s="51" t="inlineStr">
        <is>
          <t>Urgência</t>
        </is>
      </c>
      <c r="C5" s="66" t="n"/>
      <c r="D5" s="24">
        <f>COUNTIFS('Casuística'!$H$3:$H$302,"=Cirurgia Geral",'Casuística'!$G$3:$G$302,"=Urgência")</f>
        <v/>
      </c>
      <c r="E5" s="24">
        <f>COUNTIFS('Casuística'!$H$3:$H$302,"=Cirurgia Pediátrica",'Casuística'!$G$3:$G$302,"=Urgência")</f>
        <v/>
      </c>
      <c r="F5" s="24">
        <f>COUNTIFS('Casuística'!$H$3:$H$302,"=Cirurgia Plástica",'Casuística'!$G$3:$G$302,"=Urgência")</f>
        <v/>
      </c>
      <c r="G5" s="24">
        <f>COUNTIFS('Casuística'!$H$3:$H$302,"=Cirurgia Vascular",'Casuística'!$G$3:$G$302,"=Urgência")</f>
        <v/>
      </c>
      <c r="H5" s="24">
        <f>COUNTIFS('Casuística'!$H$3:$H$302,"=Ginecologia/Obstetrícia",'Casuística'!$G$3:$G$302,"=Urgência")</f>
        <v/>
      </c>
      <c r="I5" s="24">
        <f>COUNTIFS('Casuística'!$H$3:$H$302,"=Neurocirurgia",'Casuística'!$G$3:$G$302,"=Urgência")</f>
        <v/>
      </c>
      <c r="J5" s="24">
        <f>COUNTIFS('Casuística'!$H$3:$H$302,"=Oftalmologia",'Casuística'!$G$3:$G$302,"=Urgência")</f>
        <v/>
      </c>
      <c r="K5" s="24">
        <f>COUNTIFS('Casuística'!$H$3:$H$302,"=ORL",'Casuística'!$G$3:$G$302,"=Urgência")</f>
        <v/>
      </c>
      <c r="L5" s="24">
        <f>COUNTIFS('Casuística'!$H$3:$H$302,"=Ortopedia",'Casuística'!$G$3:$G$302,"=Urgência")</f>
        <v/>
      </c>
      <c r="M5" s="24">
        <f>COUNTIFS('Casuística'!$H$3:$H$302,"=Urologia",'Casuística'!$G$3:$G$302,"=Urgência")</f>
        <v/>
      </c>
      <c r="N5" s="24">
        <f>COUNTIFS('Casuística'!$H$3:$H$302,"=Fora do Bloco",'Casuística'!$G$3:$G$302,"=Urgência")</f>
        <v/>
      </c>
      <c r="O5" s="18">
        <f>SUM(D5:N5)</f>
        <v/>
      </c>
    </row>
    <row r="6" ht="15" customHeight="1" s="65">
      <c r="A6" s="71" t="n"/>
      <c r="B6" s="51" t="inlineStr">
        <is>
          <t>Internamento (programada)</t>
        </is>
      </c>
      <c r="C6" s="66" t="n"/>
      <c r="D6" s="24">
        <f>COUNTIFS('Casuística'!$H$3:$H$302,"=Cirurgia Geral",'Casuística'!$G$3:$G$302,"=Internamento (programada)")</f>
        <v/>
      </c>
      <c r="E6" s="24">
        <f>COUNTIFS('Casuística'!$H$3:$H$302,"=Cirurgia Pediátrica",'Casuística'!$G$3:$G$302,"=Internamento (programada)")</f>
        <v/>
      </c>
      <c r="F6" s="24">
        <f>COUNTIFS('Casuística'!$H$3:$H$302,"=Cirurgia Plástica",'Casuística'!$G$3:$G$302,"=Internamento (programada)")</f>
        <v/>
      </c>
      <c r="G6" s="24">
        <f>COUNTIFS('Casuística'!$H$3:$H$302,"=Cirurgia Vascular",'Casuística'!$G$3:$G$302,"=Internamento (programada)")</f>
        <v/>
      </c>
      <c r="H6" s="24">
        <f>COUNTIFS('Casuística'!$H$3:$H$302,"=Ginecologia/Obstetrícia",'Casuística'!$G$3:$G$302,"=Internamento (programada)")</f>
        <v/>
      </c>
      <c r="I6" s="24">
        <f>COUNTIFS('Casuística'!$H$3:$H$302,"=Neurocirurgia",'Casuística'!$G$3:$G$302,"=Internamento (programada)")</f>
        <v/>
      </c>
      <c r="J6" s="24">
        <f>COUNTIFS('Casuística'!$H$3:$H$302,"=Oftalmologia",'Casuística'!$G$3:$G$302,"=Internamento (programada)")</f>
        <v/>
      </c>
      <c r="K6" s="24">
        <f>COUNTIFS('Casuística'!$H$3:$H$302,"=ORL",'Casuística'!$G$3:$G$302,"=Internamento (programada)")</f>
        <v/>
      </c>
      <c r="L6" s="24">
        <f>COUNTIFS('Casuística'!$H$3:$H$302,"=Ortopedia",'Casuística'!$G$3:$G$302,"=Internamento (programada)")</f>
        <v/>
      </c>
      <c r="M6" s="24">
        <f>COUNTIFS('Casuística'!$H$3:$H$302,"=Urologia",'Casuística'!$G$3:$G$302,"=Internamento (programada)")</f>
        <v/>
      </c>
      <c r="N6" s="24">
        <f>COUNTIFS('Casuística'!$H$3:$H$302,"=Fora do Bloco",'Casuística'!$G$3:$G$302,"=Internamento (programada)")</f>
        <v/>
      </c>
      <c r="O6" s="18">
        <f>SUM(D6:N6)</f>
        <v/>
      </c>
    </row>
    <row r="7" ht="15" customHeight="1" s="65">
      <c r="A7" s="72" t="n"/>
      <c r="B7" s="51" t="inlineStr">
        <is>
          <t>Ambulatório (programada)</t>
        </is>
      </c>
      <c r="C7" s="66" t="n"/>
      <c r="D7" s="24">
        <f>COUNTIFS('Casuística'!$H$3:$H$302,"=Cirurgia Geral",'Casuística'!$G$3:$G$302,"=Ambulatório (programada)")</f>
        <v/>
      </c>
      <c r="E7" s="24">
        <f>COUNTIFS('Casuística'!$H$3:$H$302,"=Cirurgia Pediátrica",'Casuística'!$G$3:$G$302,"=Ambulatório (programada)")</f>
        <v/>
      </c>
      <c r="F7" s="24">
        <f>COUNTIFS('Casuística'!$H$3:$H$302,"=Cirurgia Plástica",'Casuística'!$G$3:$G$302,"=Ambulatório (programada)")</f>
        <v/>
      </c>
      <c r="G7" s="24">
        <f>COUNTIFS('Casuística'!$H$3:$H$302,"=Cirurgia Vascular",'Casuística'!$G$3:$G$302,"=Ambulatório (programada)")</f>
        <v/>
      </c>
      <c r="H7" s="24">
        <f>COUNTIFS('Casuística'!$H$3:$H$302,"=Ginecologia/Obstetrícia",'Casuística'!$G$3:$G$302,"=Ambulatório (programada)")</f>
        <v/>
      </c>
      <c r="I7" s="24">
        <f>COUNTIFS('Casuística'!$H$3:$H$302,"=Neurocirurgia",'Casuística'!$G$3:$G$302,"=Ambulatório (programada)")</f>
        <v/>
      </c>
      <c r="J7" s="24">
        <f>COUNTIFS('Casuística'!$H$3:$H$302,"=Oftalmologia",'Casuística'!$G$3:$G$302,"=Ambulatório (programada)")</f>
        <v/>
      </c>
      <c r="K7" s="24">
        <f>COUNTIFS('Casuística'!$H$3:$H$302,"=ORL",'Casuística'!$G$3:$G$302,"=Ambulatório (programada)")</f>
        <v/>
      </c>
      <c r="L7" s="24">
        <f>COUNTIFS('Casuística'!$H$3:$H$302,"=Ortopedia",'Casuística'!$G$3:$G$302,"=Ambulatório (programada)")</f>
        <v/>
      </c>
      <c r="M7" s="24">
        <f>COUNTIFS('Casuística'!$H$3:$H$302,"=Urologia",'Casuística'!$G$3:$G$302,"=Ambulatório (programada)")</f>
        <v/>
      </c>
      <c r="N7" s="24">
        <f>COUNTIFS('Casuística'!$H$3:$H$302,"=Fora do Bloco",'Casuística'!$G$3:$G$302,"=Ambulatório (programada)")</f>
        <v/>
      </c>
      <c r="O7" s="18">
        <f>SUM(D7:N7)</f>
        <v/>
      </c>
    </row>
    <row r="8" ht="15" customHeight="1" s="65">
      <c r="A8" s="47" t="inlineStr">
        <is>
          <t>SEXO</t>
        </is>
      </c>
      <c r="B8" s="51" t="inlineStr">
        <is>
          <t>Feminino</t>
        </is>
      </c>
      <c r="C8" s="66" t="n"/>
      <c r="D8" s="24">
        <f>COUNTIFS('Casuística'!$H$3:$H$302,"=Cirurgia Geral",'Casuística'!$E$3:$E$302,"=Feminino")</f>
        <v/>
      </c>
      <c r="E8" s="24">
        <f>COUNTIFS('Casuística'!$H$3:$H$302,"=Cirurgia Pediátrica",'Casuística'!$E$3:$E$302,"=Feminino")</f>
        <v/>
      </c>
      <c r="F8" s="24">
        <f>COUNTIFS('Casuística'!$H$3:$H$302,"=Cirurgia Plástica",'Casuística'!$E$3:$E$302,"=Feminino")</f>
        <v/>
      </c>
      <c r="G8" s="24">
        <f>COUNTIFS('Casuística'!$H$3:$H$302,"=Cirurgia Vascular",'Casuística'!$E$3:$E$302,"=Feminino")</f>
        <v/>
      </c>
      <c r="H8" s="24">
        <f>COUNTIFS('Casuística'!$H$3:$H$302,"=Ginecologia/Obstetrícia",'Casuística'!$E$3:$E$302,"=Feminino")</f>
        <v/>
      </c>
      <c r="I8" s="24">
        <f>COUNTIFS('Casuística'!$H$3:$H$302,"=Neurocirurgia",'Casuística'!$E$3:$E$302,"=Feminino")</f>
        <v/>
      </c>
      <c r="J8" s="24">
        <f>COUNTIFS('Casuística'!$H$3:$H$302,"=Oftalmologia",'Casuística'!$E$3:$E$302,"=Feminino")</f>
        <v/>
      </c>
      <c r="K8" s="24">
        <f>COUNTIFS('Casuística'!$H$3:$H$302,"=ORL",'Casuística'!$E$3:$E$302,"=Feminino")</f>
        <v/>
      </c>
      <c r="L8" s="24">
        <f>COUNTIFS('Casuística'!$H$3:$H$302,"=Ortopedia",'Casuística'!$E$3:$E$302,"=Feminino")</f>
        <v/>
      </c>
      <c r="M8" s="24">
        <f>COUNTIFS('Casuística'!$H$3:$H$302,"=Urologia",'Casuística'!$E$3:$E$302,"=Feminino")</f>
        <v/>
      </c>
      <c r="N8" s="24">
        <f>COUNTIFS('Casuística'!$H$3:$H$302,"=Fora do Bloco",'Casuística'!$E$3:$E$302,"=Feminino")</f>
        <v/>
      </c>
      <c r="O8" s="18">
        <f>SUM(D8:N8)</f>
        <v/>
      </c>
    </row>
    <row r="9" ht="15" customHeight="1" s="65">
      <c r="A9" s="72" t="n"/>
      <c r="B9" s="51" t="inlineStr">
        <is>
          <t>Masculino</t>
        </is>
      </c>
      <c r="C9" s="66" t="n"/>
      <c r="D9" s="24">
        <f>COUNTIFS('Casuística'!$H$3:$H$302,"=Cirurgia Geral",'Casuística'!$E$3:$E$302,"=Masculino")</f>
        <v/>
      </c>
      <c r="E9" s="24">
        <f>COUNTIFS('Casuística'!$H$3:$H$302,"=Cirurgia Pediátrica",'Casuística'!$E$3:$E$302,"=Masculino")</f>
        <v/>
      </c>
      <c r="F9" s="24">
        <f>COUNTIFS('Casuística'!$H$3:$H$302,"=Cirurgia Plástica",'Casuística'!$E$3:$E$302,"=Masculino")</f>
        <v/>
      </c>
      <c r="G9" s="24">
        <f>COUNTIFS('Casuística'!$H$3:$H$302,"=Cirurgia Vascular",'Casuística'!$E$3:$E$302,"=Masculino")</f>
        <v/>
      </c>
      <c r="H9" s="24">
        <f>COUNTIFS('Casuística'!$H$3:$H$302,"=Ginecologia/Obstetrícia",'Casuística'!$E$3:$E$302,"=Masculino")</f>
        <v/>
      </c>
      <c r="I9" s="24">
        <f>COUNTIFS('Casuística'!$H$3:$H$302,"=Neurocirurgia",'Casuística'!$E$3:$E$302,"=Masculino")</f>
        <v/>
      </c>
      <c r="J9" s="24">
        <f>COUNTIFS('Casuística'!$H$3:$H$302,"=Oftalmologia",'Casuística'!$E$3:$E$302,"=Masculino")</f>
        <v/>
      </c>
      <c r="K9" s="24">
        <f>COUNTIFS('Casuística'!$H$3:$H$302,"=ORL",'Casuística'!$E$3:$E$302,"=Masculino")</f>
        <v/>
      </c>
      <c r="L9" s="24">
        <f>COUNTIFS('Casuística'!$H$3:$H$302,"=Ortopedia",'Casuística'!$E$3:$E$302,"=Masculino")</f>
        <v/>
      </c>
      <c r="M9" s="24">
        <f>COUNTIFS('Casuística'!$H$3:$H$302,"=Urologia",'Casuística'!$E$3:$E$302,"=Masculino")</f>
        <v/>
      </c>
      <c r="N9" s="24">
        <f>COUNTIFS('Casuística'!$H$3:$H$302,"=Fora do Bloco",'Casuística'!$E$3:$E$302,"=Masculino")</f>
        <v/>
      </c>
      <c r="O9" s="18">
        <f>SUM(D9:N9)</f>
        <v/>
      </c>
    </row>
    <row r="10" ht="15" customHeight="1" s="65">
      <c r="A10" s="47" t="inlineStr">
        <is>
          <t>FAIXA ETÁRIA</t>
        </is>
      </c>
      <c r="B10" s="51" t="inlineStr">
        <is>
          <t>&lt; 24 horas</t>
        </is>
      </c>
      <c r="C10" s="66" t="n"/>
      <c r="D10" s="24">
        <f>COUNTIFS('Casuística'!$H$3:$H$302,"=Cirurgia Geral",'Casuística'!$D$3:$D$302,"=&lt; 24 horas")</f>
        <v/>
      </c>
      <c r="E10" s="24">
        <f>COUNTIFS('Casuística'!$H$3:$H$302,"=Cirurgia Pediátrica",'Casuística'!$D$3:$D$302,"=&lt; 24 horas")</f>
        <v/>
      </c>
      <c r="F10" s="24">
        <f>COUNTIFS('Casuística'!$H$3:$H$302,"=Cirurgia Plástica",'Casuística'!$D$3:$D$302,"=&lt; 24 horas")</f>
        <v/>
      </c>
      <c r="G10" s="24">
        <f>COUNTIFS('Casuística'!$H$3:$H$302,"=Cirurgia Vascular",'Casuística'!$D$3:$D$302,"=&lt; 24 horas")</f>
        <v/>
      </c>
      <c r="H10" s="24">
        <f>COUNTIFS('Casuística'!$H$3:$H$302,"=Ginecologia/Obstetrícia",'Casuística'!$D$3:$D$302,"=&lt; 24 horas")</f>
        <v/>
      </c>
      <c r="I10" s="24">
        <f>COUNTIFS('Casuística'!$H$3:$H$302,"=Neurocirurgia",'Casuística'!$D$3:$D$302,"=&lt; 24 horas")</f>
        <v/>
      </c>
      <c r="J10" s="24">
        <f>COUNTIFS('Casuística'!$H$3:$H$302,"=Oftalmologia",'Casuística'!$D$3:$D$302,"=&lt; 24 horas")</f>
        <v/>
      </c>
      <c r="K10" s="24">
        <f>COUNTIFS('Casuística'!$H$3:$H$302,"=ORL",'Casuística'!$D$3:$D$302,"=&lt; 24 horas")</f>
        <v/>
      </c>
      <c r="L10" s="24">
        <f>COUNTIFS('Casuística'!$H$3:$H$302,"=Ortopedia",'Casuística'!$D$3:$D$302,"=&lt; 24 horas")</f>
        <v/>
      </c>
      <c r="M10" s="24">
        <f>COUNTIFS('Casuística'!$H$3:$H$302,"=Urologia",'Casuística'!$D$3:$D$302,"=&lt; 24 horas")</f>
        <v/>
      </c>
      <c r="N10" s="24">
        <f>COUNTIFS('Casuística'!$H$3:$H$302,"=Fora do Bloco",'Casuística'!$D$3:$D$302,"=&lt; 24 horas")</f>
        <v/>
      </c>
      <c r="O10" s="18">
        <f>SUM(D10:N10)</f>
        <v/>
      </c>
    </row>
    <row r="11" ht="15" customHeight="1" s="65">
      <c r="A11" s="71" t="n"/>
      <c r="B11" s="51" t="inlineStr">
        <is>
          <t>24 horas a 1 mês</t>
        </is>
      </c>
      <c r="C11" s="66" t="n"/>
      <c r="D11" s="24">
        <f>COUNTIFS('Casuística'!$H$3:$H$302,"=Cirurgia Geral",'Casuística'!$D$3:$D$302,"=24 horas a 1 mês")</f>
        <v/>
      </c>
      <c r="E11" s="24">
        <f>COUNTIFS('Casuística'!$H$3:$H$302,"=Cirurgia Pediátrica",'Casuística'!$D$3:$D$302,"=24 horas a 1 mês")</f>
        <v/>
      </c>
      <c r="F11" s="24">
        <f>COUNTIFS('Casuística'!$H$3:$H$302,"=Cirurgia Plástica",'Casuística'!$D$3:$D$302,"=24 horas a 1 mês")</f>
        <v/>
      </c>
      <c r="G11" s="24">
        <f>COUNTIFS('Casuística'!$H$3:$H$302,"=Cirurgia Vascular",'Casuística'!$D$3:$D$302,"=24 horas a 1 mês")</f>
        <v/>
      </c>
      <c r="H11" s="24">
        <f>COUNTIFS('Casuística'!$H$3:$H$302,"=Ginecologia/Obstetrícia",'Casuística'!$D$3:$D$302,"=24 horas a 1 mês")</f>
        <v/>
      </c>
      <c r="I11" s="24">
        <f>COUNTIFS('Casuística'!$H$3:$H$302,"=Neurocirurgia",'Casuística'!$D$3:$D$302,"=24 horas a 1 mês")</f>
        <v/>
      </c>
      <c r="J11" s="24">
        <f>COUNTIFS('Casuística'!$H$3:$H$302,"=Oftalmologia",'Casuística'!$D$3:$D$302,"=24 horas a 1 mês")</f>
        <v/>
      </c>
      <c r="K11" s="24">
        <f>COUNTIFS('Casuística'!$H$3:$H$302,"=ORL",'Casuística'!$D$3:$D$302,"=24 horas a 1 mês")</f>
        <v/>
      </c>
      <c r="L11" s="24">
        <f>COUNTIFS('Casuística'!$H$3:$H$302,"=Ortopedia",'Casuística'!$D$3:$D$302,"=24 horas a 1 mês")</f>
        <v/>
      </c>
      <c r="M11" s="24">
        <f>COUNTIFS('Casuística'!$H$3:$H$302,"=Urologia",'Casuística'!$D$3:$D$302,"=24 horas a 1 mês")</f>
        <v/>
      </c>
      <c r="N11" s="24">
        <f>COUNTIFS('Casuística'!$H$3:$H$302,"=Fora do Bloco",'Casuística'!$D$3:$D$302,"=24 horas a 1 mês")</f>
        <v/>
      </c>
      <c r="O11" s="18">
        <f>SUM(D11:N11)</f>
        <v/>
      </c>
    </row>
    <row r="12" ht="15" customHeight="1" s="65">
      <c r="A12" s="71" t="n"/>
      <c r="B12" s="51" t="inlineStr">
        <is>
          <t>&gt; 1 mês a 6 meses</t>
        </is>
      </c>
      <c r="C12" s="66" t="n"/>
      <c r="D12" s="24">
        <f>COUNTIFS('Casuística'!$H$3:$H$302,"=Cirurgia Geral",'Casuística'!$D$3:$D$302,"=&gt; 1 mês a 6 meses")</f>
        <v/>
      </c>
      <c r="E12" s="24">
        <f>COUNTIFS('Casuística'!$H$3:$H$302,"=Cirurgia Pediátrica",'Casuística'!$D$3:$D$302,"=&gt; 1 mês a 6 meses")</f>
        <v/>
      </c>
      <c r="F12" s="24">
        <f>COUNTIFS('Casuística'!$H$3:$H$302,"=Cirurgia Plástica",'Casuística'!$D$3:$D$302,"=&gt; 1 mês a 6 meses")</f>
        <v/>
      </c>
      <c r="G12" s="24">
        <f>COUNTIFS('Casuística'!$H$3:$H$302,"=Cirurgia Vascular",'Casuística'!$D$3:$D$302,"=&gt; 1 mês a 6 meses")</f>
        <v/>
      </c>
      <c r="H12" s="24">
        <f>COUNTIFS('Casuística'!$H$3:$H$302,"=Ginecologia/Obstetrícia",'Casuística'!$D$3:$D$302,"=&gt; 1 mês a 6 meses")</f>
        <v/>
      </c>
      <c r="I12" s="24">
        <f>COUNTIFS('Casuística'!$H$3:$H$302,"=Neurocirurgia",'Casuística'!$D$3:$D$302,"=&gt; 1 mês a 6 meses")</f>
        <v/>
      </c>
      <c r="J12" s="24">
        <f>COUNTIFS('Casuística'!$H$3:$H$302,"=Oftalmologia",'Casuística'!$D$3:$D$302,"=&gt; 1 mês a 6 meses")</f>
        <v/>
      </c>
      <c r="K12" s="24">
        <f>COUNTIFS('Casuística'!$H$3:$H$302,"=ORL",'Casuística'!$D$3:$D$302,"=&gt; 1 mês a 6 meses")</f>
        <v/>
      </c>
      <c r="L12" s="24">
        <f>COUNTIFS('Casuística'!$H$3:$H$302,"=Ortopedia",'Casuística'!$D$3:$D$302,"=&gt; 1 mês a 6 meses")</f>
        <v/>
      </c>
      <c r="M12" s="24">
        <f>COUNTIFS('Casuística'!$H$3:$H$302,"=Urologia",'Casuística'!$D$3:$D$302,"=&gt; 1 mês a 6 meses")</f>
        <v/>
      </c>
      <c r="N12" s="24">
        <f>COUNTIFS('Casuística'!$H$3:$H$302,"=Fora do Bloco",'Casuística'!$D$3:$D$302,"=&gt; 1 mês a 6 meses")</f>
        <v/>
      </c>
      <c r="O12" s="18">
        <f>SUM(D12:N12)</f>
        <v/>
      </c>
    </row>
    <row r="13" ht="15" customHeight="1" s="65">
      <c r="A13" s="71" t="n"/>
      <c r="B13" s="51" t="inlineStr">
        <is>
          <t>&gt; 6 meses a 4 anos</t>
        </is>
      </c>
      <c r="C13" s="66" t="n"/>
      <c r="D13" s="24">
        <f>COUNTIFS('Casuística'!$H$3:$H$302,"=Cirurgia Geral",'Casuística'!$D$3:$D$302,"=&gt; 6 meses a 4 anos")</f>
        <v/>
      </c>
      <c r="E13" s="24">
        <f>COUNTIFS('Casuística'!$H$3:$H$302,"=Cirurgia Pediátrica",'Casuística'!$D$3:$D$302,"=&gt; 6 meses a 4 anos")</f>
        <v/>
      </c>
      <c r="F13" s="24">
        <f>COUNTIFS('Casuística'!$H$3:$H$302,"=Cirurgia Plástica",'Casuística'!$D$3:$D$302,"=&gt; 6 meses a 4 anos")</f>
        <v/>
      </c>
      <c r="G13" s="24">
        <f>COUNTIFS('Casuística'!$H$3:$H$302,"=Cirurgia Vascular",'Casuística'!$D$3:$D$302,"=&gt; 6 meses a 4 anos")</f>
        <v/>
      </c>
      <c r="H13" s="24">
        <f>COUNTIFS('Casuística'!$H$3:$H$302,"=Ginecologia/Obstetrícia",'Casuística'!$D$3:$D$302,"=&gt; 6 meses a 4 anos")</f>
        <v/>
      </c>
      <c r="I13" s="24">
        <f>COUNTIFS('Casuística'!$H$3:$H$302,"=Neurocirurgia",'Casuística'!$D$3:$D$302,"=&gt; 6 meses a 4 anos")</f>
        <v/>
      </c>
      <c r="J13" s="24">
        <f>COUNTIFS('Casuística'!$H$3:$H$302,"=Oftalmologia",'Casuística'!$D$3:$D$302,"=&gt; 6 meses a 4 anos")</f>
        <v/>
      </c>
      <c r="K13" s="24">
        <f>COUNTIFS('Casuística'!$H$3:$H$302,"=ORL",'Casuística'!$D$3:$D$302,"=&gt; 6 meses a 4 anos")</f>
        <v/>
      </c>
      <c r="L13" s="24">
        <f>COUNTIFS('Casuística'!$H$3:$H$302,"=Ortopedia",'Casuística'!$D$3:$D$302,"=&gt; 6 meses a 4 anos")</f>
        <v/>
      </c>
      <c r="M13" s="24">
        <f>COUNTIFS('Casuística'!$H$3:$H$302,"=Urologia",'Casuística'!$D$3:$D$302,"=&gt; 6 meses a 4 anos")</f>
        <v/>
      </c>
      <c r="N13" s="24">
        <f>COUNTIFS('Casuística'!$H$3:$H$302,"=Fora do Bloco",'Casuística'!$D$3:$D$302,"=&gt; 6 meses a 4 anos")</f>
        <v/>
      </c>
      <c r="O13" s="18">
        <f>SUM(D13:N13)</f>
        <v/>
      </c>
    </row>
    <row r="14" ht="15" customHeight="1" s="65">
      <c r="A14" s="71" t="n"/>
      <c r="B14" s="51" t="inlineStr">
        <is>
          <t>&gt; 4 anos a 12 anos</t>
        </is>
      </c>
      <c r="C14" s="66" t="n"/>
      <c r="D14" s="24">
        <f>COUNTIFS('Casuística'!$H$3:$H$302,"=Cirurgia Geral",'Casuística'!$D$3:$D$302,"=&gt; 4 anos a 12 anos")</f>
        <v/>
      </c>
      <c r="E14" s="24">
        <f>COUNTIFS('Casuística'!$H$3:$H$302,"=Cirurgia Pediátrica",'Casuística'!$D$3:$D$302,"=&gt; 4 anos a 12 anos")</f>
        <v/>
      </c>
      <c r="F14" s="24">
        <f>COUNTIFS('Casuística'!$H$3:$H$302,"=Cirurgia Plástica",'Casuística'!$D$3:$D$302,"=&gt; 4 anos a 12 anos")</f>
        <v/>
      </c>
      <c r="G14" s="24">
        <f>COUNTIFS('Casuística'!$H$3:$H$302,"=Cirurgia Vascular",'Casuística'!$D$3:$D$302,"=&gt; 4 anos a 12 anos")</f>
        <v/>
      </c>
      <c r="H14" s="24">
        <f>COUNTIFS('Casuística'!$H$3:$H$302,"=Ginecologia/Obstetrícia",'Casuística'!$D$3:$D$302,"=&gt; 4 anos a 12 anos")</f>
        <v/>
      </c>
      <c r="I14" s="24">
        <f>COUNTIFS('Casuística'!$H$3:$H$302,"=Neurocirurgia",'Casuística'!$D$3:$D$302,"=&gt; 4 anos a 12 anos")</f>
        <v/>
      </c>
      <c r="J14" s="24">
        <f>COUNTIFS('Casuística'!$H$3:$H$302,"=Oftalmologia",'Casuística'!$D$3:$D$302,"=&gt; 4 anos a 12 anos")</f>
        <v/>
      </c>
      <c r="K14" s="24">
        <f>COUNTIFS('Casuística'!$H$3:$H$302,"=ORL",'Casuística'!$D$3:$D$302,"=&gt; 4 anos a 12 anos")</f>
        <v/>
      </c>
      <c r="L14" s="24">
        <f>COUNTIFS('Casuística'!$H$3:$H$302,"=Ortopedia",'Casuística'!$D$3:$D$302,"=&gt; 4 anos a 12 anos")</f>
        <v/>
      </c>
      <c r="M14" s="24">
        <f>COUNTIFS('Casuística'!$H$3:$H$302,"=Urologia",'Casuística'!$D$3:$D$302,"=&gt; 4 anos a 12 anos")</f>
        <v/>
      </c>
      <c r="N14" s="24">
        <f>COUNTIFS('Casuística'!$H$3:$H$302,"=Fora do Bloco",'Casuística'!$D$3:$D$302,"=&gt; 4 anos a 12 anos")</f>
        <v/>
      </c>
      <c r="O14" s="18">
        <f>SUM(D14:N14)</f>
        <v/>
      </c>
    </row>
    <row r="15" ht="15" customHeight="1" s="65">
      <c r="A15" s="71" t="n"/>
      <c r="B15" s="51" t="inlineStr">
        <is>
          <t>&gt; 12 anos a 65 anos</t>
        </is>
      </c>
      <c r="C15" s="66" t="n"/>
      <c r="D15" s="24">
        <f>COUNTIFS('Casuística'!$H$3:$H$302,"=Cirurgia Geral",'Casuística'!$D$3:$D$302,"=&gt; 12 anos a 65 anos")</f>
        <v/>
      </c>
      <c r="E15" s="24">
        <f>COUNTIFS('Casuística'!$H$3:$H$302,"=Cirurgia Pediátrica",'Casuística'!$D$3:$D$302,"=&gt; 12 anos a 65 anos")</f>
        <v/>
      </c>
      <c r="F15" s="24">
        <f>COUNTIFS('Casuística'!$H$3:$H$302,"=Cirurgia Plástica",'Casuística'!$D$3:$D$302,"=&gt; 12 anos a 65 anos")</f>
        <v/>
      </c>
      <c r="G15" s="24">
        <f>COUNTIFS('Casuística'!$H$3:$H$302,"=Cirurgia Vascular",'Casuística'!$D$3:$D$302,"=&gt; 12 anos a 65 anos")</f>
        <v/>
      </c>
      <c r="H15" s="24">
        <f>COUNTIFS('Casuística'!$H$3:$H$302,"=Ginecologia/Obstetrícia",'Casuística'!$D$3:$D$302,"=&gt; 12 anos a 65 anos")</f>
        <v/>
      </c>
      <c r="I15" s="24">
        <f>COUNTIFS('Casuística'!$H$3:$H$302,"=Neurocirurgia",'Casuística'!$D$3:$D$302,"=&gt; 12 anos a 65 anos")</f>
        <v/>
      </c>
      <c r="J15" s="24">
        <f>COUNTIFS('Casuística'!$H$3:$H$302,"=Oftalmologia",'Casuística'!$D$3:$D$302,"=&gt; 12 anos a 65 anos")</f>
        <v/>
      </c>
      <c r="K15" s="24">
        <f>COUNTIFS('Casuística'!$H$3:$H$302,"=ORL",'Casuística'!$D$3:$D$302,"=&gt; 12 anos a 65 anos")</f>
        <v/>
      </c>
      <c r="L15" s="24">
        <f>COUNTIFS('Casuística'!$H$3:$H$302,"=Ortopedia",'Casuística'!$D$3:$D$302,"=&gt; 12 anos a 65 anos")</f>
        <v/>
      </c>
      <c r="M15" s="24">
        <f>COUNTIFS('Casuística'!$H$3:$H$302,"=Urologia",'Casuística'!$D$3:$D$302,"=&gt; 12 anos a 65 anos")</f>
        <v/>
      </c>
      <c r="N15" s="24">
        <f>COUNTIFS('Casuística'!$H$3:$H$302,"=Fora do Bloco",'Casuística'!$D$3:$D$302,"=&gt; 12 anos a 65 anos")</f>
        <v/>
      </c>
      <c r="O15" s="18">
        <f>SUM(D15:N15)</f>
        <v/>
      </c>
    </row>
    <row r="16" ht="15" customHeight="1" s="65">
      <c r="A16" s="71" t="n"/>
      <c r="B16" s="51" t="inlineStr">
        <is>
          <t>&gt; 65 anos a 85 anos</t>
        </is>
      </c>
      <c r="C16" s="66" t="n"/>
      <c r="D16" s="24">
        <f>COUNTIFS('Casuística'!$H$3:$H$302,"=Cirurgia Geral",'Casuística'!$D$3:$D$302,"=&gt; 65 anos a 85 anos")</f>
        <v/>
      </c>
      <c r="E16" s="24">
        <f>COUNTIFS('Casuística'!$H$3:$H$302,"=Cirurgia Pediátrica",'Casuística'!$D$3:$D$302,"=&gt; 65 anos a 85 anos")</f>
        <v/>
      </c>
      <c r="F16" s="24">
        <f>COUNTIFS('Casuística'!$H$3:$H$302,"=Cirurgia Plástica",'Casuística'!$D$3:$D$302,"=&gt; 65 anos a 85 anos")</f>
        <v/>
      </c>
      <c r="G16" s="24">
        <f>COUNTIFS('Casuística'!$H$3:$H$302,"=Cirurgia Vascular",'Casuística'!$D$3:$D$302,"=&gt; 65 anos a 85 anos")</f>
        <v/>
      </c>
      <c r="H16" s="24">
        <f>COUNTIFS('Casuística'!$H$3:$H$302,"=Ginecologia/Obstetrícia",'Casuística'!$D$3:$D$302,"=&gt; 65 anos a 85 anos")</f>
        <v/>
      </c>
      <c r="I16" s="24">
        <f>COUNTIFS('Casuística'!$H$3:$H$302,"=Neurocirurgia",'Casuística'!$D$3:$D$302,"=&gt; 65 anos a 85 anos")</f>
        <v/>
      </c>
      <c r="J16" s="24">
        <f>COUNTIFS('Casuística'!$H$3:$H$302,"=Oftalmologia",'Casuística'!$D$3:$D$302,"=&gt; 65 anos a 85 anos")</f>
        <v/>
      </c>
      <c r="K16" s="24">
        <f>COUNTIFS('Casuística'!$H$3:$H$302,"=ORL",'Casuística'!$D$3:$D$302,"=&gt; 65 anos a 85 anos")</f>
        <v/>
      </c>
      <c r="L16" s="24">
        <f>COUNTIFS('Casuística'!$H$3:$H$302,"=Ortopedia",'Casuística'!$D$3:$D$302,"=&gt; 65 anos a 85 anos")</f>
        <v/>
      </c>
      <c r="M16" s="24">
        <f>COUNTIFS('Casuística'!$H$3:$H$302,"=Urologia",'Casuística'!$D$3:$D$302,"=&gt; 65 anos a 85 anos")</f>
        <v/>
      </c>
      <c r="N16" s="24">
        <f>COUNTIFS('Casuística'!$H$3:$H$302,"=Fora do Bloco",'Casuística'!$D$3:$D$302,"=&gt; 65 anos a 85 anos")</f>
        <v/>
      </c>
      <c r="O16" s="18">
        <f>SUM(D16:N16)</f>
        <v/>
      </c>
    </row>
    <row r="17" ht="15" customHeight="1" s="65">
      <c r="A17" s="72" t="n"/>
      <c r="B17" s="51" t="inlineStr">
        <is>
          <t>&gt; 85 anos</t>
        </is>
      </c>
      <c r="C17" s="66" t="n"/>
      <c r="D17" s="24">
        <f>COUNTIFS('Casuística'!$H$3:$H$302,"=Cirurgia Geral",'Casuística'!$D$3:$D$302,"=&gt; 85 anos")</f>
        <v/>
      </c>
      <c r="E17" s="24">
        <f>COUNTIFS('Casuística'!$H$3:$H$302,"=Cirurgia Pediátrica",'Casuística'!$D$3:$D$302,"=&gt; 85 anos")</f>
        <v/>
      </c>
      <c r="F17" s="24">
        <f>COUNTIFS('Casuística'!$H$3:$H$302,"=Cirurgia Plástica",'Casuística'!$D$3:$D$302,"=&gt; 85 anos")</f>
        <v/>
      </c>
      <c r="G17" s="24">
        <f>COUNTIFS('Casuística'!$H$3:$H$302,"=Cirurgia Vascular",'Casuística'!$D$3:$D$302,"=&gt; 85 anos")</f>
        <v/>
      </c>
      <c r="H17" s="24">
        <f>COUNTIFS('Casuística'!$H$3:$H$302,"=Ginecologia/Obstetrícia",'Casuística'!$D$3:$D$302,"=&gt; 85 anos")</f>
        <v/>
      </c>
      <c r="I17" s="24">
        <f>COUNTIFS('Casuística'!$H$3:$H$302,"=Neurocirurgia",'Casuística'!$D$3:$D$302,"=&gt; 85 anos")</f>
        <v/>
      </c>
      <c r="J17" s="24">
        <f>COUNTIFS('Casuística'!$H$3:$H$302,"=Oftalmologia",'Casuística'!$D$3:$D$302,"=&gt; 85 anos")</f>
        <v/>
      </c>
      <c r="K17" s="24">
        <f>COUNTIFS('Casuística'!$H$3:$H$302,"=ORL",'Casuística'!$D$3:$D$302,"=&gt; 85 anos")</f>
        <v/>
      </c>
      <c r="L17" s="24">
        <f>COUNTIFS('Casuística'!$H$3:$H$302,"=Ortopedia",'Casuística'!$D$3:$D$302,"=&gt; 85 anos")</f>
        <v/>
      </c>
      <c r="M17" s="24">
        <f>COUNTIFS('Casuística'!$H$3:$H$302,"=Urologia",'Casuística'!$D$3:$D$302,"=&gt; 85 anos")</f>
        <v/>
      </c>
      <c r="N17" s="24">
        <f>COUNTIFS('Casuística'!$H$3:$H$302,"=Fora do Bloco",'Casuística'!$D$3:$D$302,"=&gt; 85 anos")</f>
        <v/>
      </c>
      <c r="O17" s="18">
        <f>SUM(D17:N17)</f>
        <v/>
      </c>
    </row>
    <row r="18" ht="15" customHeight="1" s="65">
      <c r="A18" s="47" t="inlineStr">
        <is>
          <t>ESTADO FÍSICO</t>
        </is>
      </c>
      <c r="B18" s="51" t="inlineStr">
        <is>
          <t>ASA I</t>
        </is>
      </c>
      <c r="C18" s="66" t="n"/>
      <c r="D18" s="24">
        <f>COUNTIFS('Casuística'!$H$3:$H$302,"=Cirurgia Geral",'Casuística'!$F$3:$F$302,"=I")</f>
        <v/>
      </c>
      <c r="E18" s="24">
        <f>COUNTIFS('Casuística'!$H$3:$H$302,"=Cirurgia Pediátrica",'Casuística'!$F$3:$F$302,"=I")</f>
        <v/>
      </c>
      <c r="F18" s="24">
        <f>COUNTIFS('Casuística'!$H$3:$H$302,"=Cirurgia Plástica",'Casuística'!$F$3:$F$302,"=I")</f>
        <v/>
      </c>
      <c r="G18" s="24">
        <f>COUNTIFS('Casuística'!$H$3:$H$302,"=Cirurgia Vascular",'Casuística'!$F$3:$F$302,"=I")</f>
        <v/>
      </c>
      <c r="H18" s="24">
        <f>COUNTIFS('Casuística'!$H$3:$H$302,"=Ginecologia/Obstetrícia",'Casuística'!$F$3:$F$302,"=I")</f>
        <v/>
      </c>
      <c r="I18" s="24">
        <f>COUNTIFS('Casuística'!$H$3:$H$302,"=Neurocirurgia",'Casuística'!$F$3:$F$302,"=I")</f>
        <v/>
      </c>
      <c r="J18" s="24">
        <f>COUNTIFS('Casuística'!$H$3:$H$302,"=Oftalmologia",'Casuística'!$F$3:$F$302,"=I")</f>
        <v/>
      </c>
      <c r="K18" s="24">
        <f>COUNTIFS('Casuística'!$H$3:$H$302,"=ORL",'Casuística'!$F$3:$F$302,"=I")</f>
        <v/>
      </c>
      <c r="L18" s="24">
        <f>COUNTIFS('Casuística'!$H$3:$H$302,"=Ortopedia",'Casuística'!$F$3:$F$302,"=I")</f>
        <v/>
      </c>
      <c r="M18" s="24">
        <f>COUNTIFS('Casuística'!$H$3:$H$302,"=Urologia",'Casuística'!$F$3:$F$302,"=I")</f>
        <v/>
      </c>
      <c r="N18" s="24">
        <f>COUNTIFS('Casuística'!$H$3:$H$302,"=Fora do Bloco",'Casuística'!$F$3:$F$302,"=I")</f>
        <v/>
      </c>
      <c r="O18" s="18">
        <f>SUM(D18:N18)</f>
        <v/>
      </c>
    </row>
    <row r="19" ht="15" customHeight="1" s="65">
      <c r="A19" s="71" t="n"/>
      <c r="B19" s="51" t="inlineStr">
        <is>
          <t>ASA II</t>
        </is>
      </c>
      <c r="C19" s="66" t="n"/>
      <c r="D19" s="24">
        <f>COUNTIFS('Casuística'!$H$3:$H$302,"=Cirurgia Geral",'Casuística'!$F$3:$F$302,"=II")</f>
        <v/>
      </c>
      <c r="E19" s="24">
        <f>COUNTIFS('Casuística'!$H$3:$H$302,"=Cirurgia Pediátrica",'Casuística'!$F$3:$F$302,"=II")</f>
        <v/>
      </c>
      <c r="F19" s="24">
        <f>COUNTIFS('Casuística'!$H$3:$H$302,"=Cirurgia Plástica",'Casuística'!$F$3:$F$302,"=II")</f>
        <v/>
      </c>
      <c r="G19" s="24">
        <f>COUNTIFS('Casuística'!$H$3:$H$302,"=Cirurgia Vascular",'Casuística'!$F$3:$F$302,"=II")</f>
        <v/>
      </c>
      <c r="H19" s="24">
        <f>COUNTIFS('Casuística'!$H$3:$H$302,"=Ginecologia/Obstetrícia",'Casuística'!$F$3:$F$302,"=II")</f>
        <v/>
      </c>
      <c r="I19" s="24">
        <f>COUNTIFS('Casuística'!$H$3:$H$302,"=Neurocirurgia",'Casuística'!$F$3:$F$302,"=II")</f>
        <v/>
      </c>
      <c r="J19" s="24">
        <f>COUNTIFS('Casuística'!$H$3:$H$302,"=Oftalmologia",'Casuística'!$F$3:$F$302,"=II")</f>
        <v/>
      </c>
      <c r="K19" s="24">
        <f>COUNTIFS('Casuística'!$H$3:$H$302,"=ORL",'Casuística'!$F$3:$F$302,"=II")</f>
        <v/>
      </c>
      <c r="L19" s="24">
        <f>COUNTIFS('Casuística'!$H$3:$H$302,"=Ortopedia",'Casuística'!$F$3:$F$302,"=II")</f>
        <v/>
      </c>
      <c r="M19" s="24">
        <f>COUNTIFS('Casuística'!$H$3:$H$302,"=Urologia",'Casuística'!$F$3:$F$302,"=II")</f>
        <v/>
      </c>
      <c r="N19" s="24">
        <f>COUNTIFS('Casuística'!$H$3:$H$302,"=Fora do Bloco",'Casuística'!$F$3:$F$302,"=II")</f>
        <v/>
      </c>
      <c r="O19" s="18">
        <f>SUM(D19:N19)</f>
        <v/>
      </c>
    </row>
    <row r="20" ht="15" customHeight="1" s="65">
      <c r="A20" s="71" t="n"/>
      <c r="B20" s="51" t="inlineStr">
        <is>
          <t>ASA III</t>
        </is>
      </c>
      <c r="C20" s="66" t="n"/>
      <c r="D20" s="24">
        <f>COUNTIFS('Casuística'!$H$3:$H$302,"=Cirurgia Geral",'Casuística'!$F$3:$F$302,"=III")</f>
        <v/>
      </c>
      <c r="E20" s="24">
        <f>COUNTIFS('Casuística'!$H$3:$H$302,"=Cirurgia Pediátrica",'Casuística'!$F$3:$F$302,"=III")</f>
        <v/>
      </c>
      <c r="F20" s="24">
        <f>COUNTIFS('Casuística'!$H$3:$H$302,"=Cirurgia Plástica",'Casuística'!$F$3:$F$302,"=III")</f>
        <v/>
      </c>
      <c r="G20" s="24">
        <f>COUNTIFS('Casuística'!$H$3:$H$302,"=Cirurgia Vascular",'Casuística'!$F$3:$F$302,"=III")</f>
        <v/>
      </c>
      <c r="H20" s="24">
        <f>COUNTIFS('Casuística'!$H$3:$H$302,"=Ginecologia/Obstetrícia",'Casuística'!$F$3:$F$302,"=III")</f>
        <v/>
      </c>
      <c r="I20" s="24">
        <f>COUNTIFS('Casuística'!$H$3:$H$302,"=Neurocirurgia",'Casuística'!$F$3:$F$302,"=III")</f>
        <v/>
      </c>
      <c r="J20" s="24">
        <f>COUNTIFS('Casuística'!$H$3:$H$302,"=Oftalmologia",'Casuística'!$F$3:$F$302,"=III")</f>
        <v/>
      </c>
      <c r="K20" s="24">
        <f>COUNTIFS('Casuística'!$H$3:$H$302,"=ORL",'Casuística'!$F$3:$F$302,"=III")</f>
        <v/>
      </c>
      <c r="L20" s="24">
        <f>COUNTIFS('Casuística'!$H$3:$H$302,"=Ortopedia",'Casuística'!$F$3:$F$302,"=III")</f>
        <v/>
      </c>
      <c r="M20" s="24">
        <f>COUNTIFS('Casuística'!$H$3:$H$302,"=Urologia",'Casuística'!$F$3:$F$302,"=III")</f>
        <v/>
      </c>
      <c r="N20" s="24">
        <f>COUNTIFS('Casuística'!$H$3:$H$302,"=Fora do Bloco",'Casuística'!$F$3:$F$302,"=III")</f>
        <v/>
      </c>
      <c r="O20" s="18">
        <f>SUM(D20:N20)</f>
        <v/>
      </c>
    </row>
    <row r="21" ht="15" customHeight="1" s="65">
      <c r="A21" s="71" t="n"/>
      <c r="B21" s="51" t="inlineStr">
        <is>
          <t>ASA IV</t>
        </is>
      </c>
      <c r="C21" s="66" t="n"/>
      <c r="D21" s="24">
        <f>COUNTIFS('Casuística'!$H$3:$H$302,"=Cirurgia Geral",'Casuística'!$F$3:$F$302,"=IV")</f>
        <v/>
      </c>
      <c r="E21" s="24">
        <f>COUNTIFS('Casuística'!$H$3:$H$302,"=Cirurgia Pediátrica",'Casuística'!$F$3:$F$302,"=IV")</f>
        <v/>
      </c>
      <c r="F21" s="24">
        <f>COUNTIFS('Casuística'!$H$3:$H$302,"=Cirurgia Plástica",'Casuística'!$F$3:$F$302,"=IV")</f>
        <v/>
      </c>
      <c r="G21" s="24">
        <f>COUNTIFS('Casuística'!$H$3:$H$302,"=Cirurgia Vascular",'Casuística'!$F$3:$F$302,"=IV")</f>
        <v/>
      </c>
      <c r="H21" s="24">
        <f>COUNTIFS('Casuística'!$H$3:$H$302,"=Ginecologia/Obstetrícia",'Casuística'!$F$3:$F$302,"=IV")</f>
        <v/>
      </c>
      <c r="I21" s="24">
        <f>COUNTIFS('Casuística'!$H$3:$H$302,"=Neurocirurgia",'Casuística'!$F$3:$F$302,"=IV")</f>
        <v/>
      </c>
      <c r="J21" s="24">
        <f>COUNTIFS('Casuística'!$H$3:$H$302,"=Oftalmologia",'Casuística'!$F$3:$F$302,"=IV")</f>
        <v/>
      </c>
      <c r="K21" s="24">
        <f>COUNTIFS('Casuística'!$H$3:$H$302,"=ORL",'Casuística'!$F$3:$F$302,"=IV")</f>
        <v/>
      </c>
      <c r="L21" s="24">
        <f>COUNTIFS('Casuística'!$H$3:$H$302,"=Ortopedia",'Casuística'!$F$3:$F$302,"=IV")</f>
        <v/>
      </c>
      <c r="M21" s="24">
        <f>COUNTIFS('Casuística'!$H$3:$H$302,"=Urologia",'Casuística'!$F$3:$F$302,"=IV")</f>
        <v/>
      </c>
      <c r="N21" s="24">
        <f>COUNTIFS('Casuística'!$H$3:$H$302,"=Fora do Bloco",'Casuística'!$F$3:$F$302,"=IV")</f>
        <v/>
      </c>
      <c r="O21" s="18">
        <f>SUM(D21:N21)</f>
        <v/>
      </c>
    </row>
    <row r="22" ht="15" customHeight="1" s="65">
      <c r="A22" s="72" t="n"/>
      <c r="B22" s="51" t="inlineStr">
        <is>
          <t>ASA V</t>
        </is>
      </c>
      <c r="C22" s="66" t="n"/>
      <c r="D22" s="24">
        <f>COUNTIFS('Casuística'!$H$3:$H$302,"=Cirurgia Geral",'Casuística'!$F$3:$F$302,"=V")</f>
        <v/>
      </c>
      <c r="E22" s="24">
        <f>COUNTIFS('Casuística'!$H$3:$H$302,"=Cirurgia Pediátrica",'Casuística'!$F$3:$F$302,"=V")</f>
        <v/>
      </c>
      <c r="F22" s="24">
        <f>COUNTIFS('Casuística'!$H$3:$H$302,"=Cirurgia Plástica",'Casuística'!$F$3:$F$302,"=V")</f>
        <v/>
      </c>
      <c r="G22" s="24">
        <f>COUNTIFS('Casuística'!$H$3:$H$302,"=Cirurgia Vascular",'Casuística'!$F$3:$F$302,"=V")</f>
        <v/>
      </c>
      <c r="H22" s="24">
        <f>COUNTIFS('Casuística'!$H$3:$H$302,"=Ginecologia/Obstetrícia",'Casuística'!$F$3:$F$302,"=V")</f>
        <v/>
      </c>
      <c r="I22" s="24">
        <f>COUNTIFS('Casuística'!$H$3:$H$302,"=Neurocirurgia",'Casuística'!$F$3:$F$302,"=V")</f>
        <v/>
      </c>
      <c r="J22" s="24">
        <f>COUNTIFS('Casuística'!$H$3:$H$302,"=Oftalmologia",'Casuística'!$F$3:$F$302,"=V")</f>
        <v/>
      </c>
      <c r="K22" s="24">
        <f>COUNTIFS('Casuística'!$H$3:$H$302,"=ORL",'Casuística'!$F$3:$F$302,"=V")</f>
        <v/>
      </c>
      <c r="L22" s="24">
        <f>COUNTIFS('Casuística'!$H$3:$H$302,"=Ortopedia",'Casuística'!$F$3:$F$302,"=V")</f>
        <v/>
      </c>
      <c r="M22" s="24">
        <f>COUNTIFS('Casuística'!$H$3:$H$302,"=Urologia",'Casuística'!$F$3:$F$302,"=V")</f>
        <v/>
      </c>
      <c r="N22" s="24">
        <f>COUNTIFS('Casuística'!$H$3:$H$302,"=Fora do Bloco",'Casuística'!$F$3:$F$302,"=V")</f>
        <v/>
      </c>
      <c r="O22" s="18">
        <f>SUM(D22:N22)</f>
        <v/>
      </c>
    </row>
    <row r="23" ht="15" customHeight="1" s="65">
      <c r="A23" s="47" t="inlineStr">
        <is>
          <t>TÉCNICA ANESTÉSICA</t>
        </is>
      </c>
      <c r="B23" s="51" t="inlineStr">
        <is>
          <t>Anestesia Geral</t>
        </is>
      </c>
      <c r="C23" s="51" t="inlineStr">
        <is>
          <t>Endovenosa</t>
        </is>
      </c>
      <c r="D23" s="24">
        <f>COUNTIFS('Casuística'!$H$3:$H$302,"=Cirurgia Geral",'Casuística'!$N$3:$N$302,"=Geral",'Casuística'!$O$3:$O$302,"=Endovenosa")</f>
        <v/>
      </c>
      <c r="E23" s="24">
        <f>COUNTIFS('Casuística'!$H$3:$H$302,"=Cirurgia Pediátrica",'Casuística'!$N$3:$N$302,"=Geral",'Casuística'!$O$3:$O$302,"=Endovenosa")</f>
        <v/>
      </c>
      <c r="F23" s="24">
        <f>COUNTIFS('Casuística'!$H$3:$H$302,"=Cirurgia Plástica",'Casuística'!$N$3:$N$302,"=Geral",'Casuística'!$O$3:$O$302,"=Endovenosa")</f>
        <v/>
      </c>
      <c r="G23" s="24">
        <f>COUNTIFS('Casuística'!$H$3:$H$302,"=Cirurgia Vascular",'Casuística'!$N$3:$N$302,"=Geral",'Casuística'!$O$3:$O$302,"=Endovenosa")</f>
        <v/>
      </c>
      <c r="H23" s="24">
        <f>COUNTIFS('Casuística'!$H$3:$H$302,"=Ginecologia/Obstetrícia",'Casuística'!$N$3:$N$302,"=Geral",'Casuística'!$O$3:$O$302,"=Endovenosa")</f>
        <v/>
      </c>
      <c r="I23" s="24">
        <f>COUNTIFS('Casuística'!$H$3:$H$302,"=Neurocirurgia",'Casuística'!$N$3:$N$302,"=Geral",'Casuística'!$O$3:$O$302,"=Endovenosa")</f>
        <v/>
      </c>
      <c r="J23" s="24">
        <f>COUNTIFS('Casuística'!$H$3:$H$302,"=Oftalmologia",'Casuística'!$N$3:$N$302,"=Geral",'Casuística'!$O$3:$O$302,"=Endovenosa")</f>
        <v/>
      </c>
      <c r="K23" s="24">
        <f>COUNTIFS('Casuística'!$H$3:$H$302,"=ORL",'Casuística'!$N$3:$N$302,"=Geral",'Casuística'!$O$3:$O$302,"=Endovenosa")</f>
        <v/>
      </c>
      <c r="L23" s="24">
        <f>COUNTIFS('Casuística'!$H$3:$H$302,"=Ortopedia",'Casuística'!$N$3:$N$302,"=Geral",'Casuística'!$O$3:$O$302,"=Endovenosa")</f>
        <v/>
      </c>
      <c r="M23" s="24">
        <f>COUNTIFS('Casuística'!$H$3:$H$302,"=Urologia",'Casuística'!$N$3:$N$302,"=Geral",'Casuística'!$O$3:$O$302,"=Endovenosa")</f>
        <v/>
      </c>
      <c r="N23" s="24">
        <f>COUNTIFS('Casuística'!$H$3:$H$302,"=Fora do Bloco",'Casuística'!$N$3:$N$302,"=Geral",'Casuística'!$O$3:$O$302,"=Endovenosa")</f>
        <v/>
      </c>
      <c r="O23" s="18">
        <f>SUM(D23:N23)</f>
        <v/>
      </c>
    </row>
    <row r="24" ht="15.75" customHeight="1" s="65">
      <c r="A24" s="71" t="n"/>
      <c r="B24" s="71" t="n"/>
      <c r="C24" s="51" t="inlineStr">
        <is>
          <t>Balanceada</t>
        </is>
      </c>
      <c r="D24" s="24">
        <f>COUNTIFS('Casuística'!$H$3:$H$302,"=Cirurgia Geral",'Casuística'!$N$3:$N$302,"=Geral",'Casuística'!$O$3:$O$302,"=Balanceada")</f>
        <v/>
      </c>
      <c r="E24" s="24">
        <f>COUNTIFS('Casuística'!$H$3:$H$302,"=Cirurgia Pediátrica",'Casuística'!$N$3:$N$302,"=Geral",'Casuística'!$O$3:$O$302,"=Balanceada")</f>
        <v/>
      </c>
      <c r="F24" s="24">
        <f>COUNTIFS('Casuística'!$H$3:$H$302,"=Cirurgia Plástica",'Casuística'!$N$3:$N$302,"=Geral",'Casuística'!$O$3:$O$302,"=Balanceada")</f>
        <v/>
      </c>
      <c r="G24" s="24">
        <f>COUNTIFS('Casuística'!$H$3:$H$302,"=Cirurgia Vascular",'Casuística'!$N$3:$N$302,"=Geral",'Casuística'!$O$3:$O$302,"=Balanceada")</f>
        <v/>
      </c>
      <c r="H24" s="24">
        <f>COUNTIFS('Casuística'!$H$3:$H$302,"=Ginecologia/Obstetrícia",'Casuística'!$N$3:$N$302,"=Geral",'Casuística'!$O$3:$O$302,"=Balanceada")</f>
        <v/>
      </c>
      <c r="I24" s="24">
        <f>COUNTIFS('Casuística'!$H$3:$H$302,"=Neurocirurgia",'Casuística'!$N$3:$N$302,"=Geral",'Casuística'!$O$3:$O$302,"=Balanceada")</f>
        <v/>
      </c>
      <c r="J24" s="24">
        <f>COUNTIFS('Casuística'!$H$3:$H$302,"=Oftalmologia",'Casuística'!$N$3:$N$302,"=Geral",'Casuística'!$O$3:$O$302,"=Balanceada")</f>
        <v/>
      </c>
      <c r="K24" s="24">
        <f>COUNTIFS('Casuística'!$H$3:$H$302,"=ORL",'Casuística'!$N$3:$N$302,"=Geral",'Casuística'!$O$3:$O$302,"=Balanceada")</f>
        <v/>
      </c>
      <c r="L24" s="24">
        <f>COUNTIFS('Casuística'!$H$3:$H$302,"=Ortopedia",'Casuística'!$N$3:$N$302,"=Geral",'Casuística'!$O$3:$O$302,"=Balanceada")</f>
        <v/>
      </c>
      <c r="M24" s="24">
        <f>COUNTIFS('Casuística'!$H$3:$H$302,"=Urologia",'Casuística'!$N$3:$N$302,"=Geral",'Casuística'!$O$3:$O$302,"=Balanceada")</f>
        <v/>
      </c>
      <c r="N24" s="24">
        <f>COUNTIFS('Casuística'!$H$3:$H$302,"=Fora do Bloco",'Casuística'!$N$3:$N$302,"=Geral",'Casuística'!$O$3:$O$302,"=Balanceada")</f>
        <v/>
      </c>
      <c r="O24" s="18">
        <f>SUM(D24:N24)</f>
        <v/>
      </c>
    </row>
    <row r="25" ht="15.75" customHeight="1" s="65">
      <c r="A25" s="71" t="n"/>
      <c r="B25" s="72" t="n"/>
      <c r="C25" s="51" t="inlineStr">
        <is>
          <t>Inalatória</t>
        </is>
      </c>
      <c r="D25" s="24">
        <f>COUNTIFS('Casuística'!$H$3:$H$302,"=Cirurgia Geral",'Casuística'!$N$3:$N$302,"=Geral",'Casuística'!$O$3:$O$302,"=Inalatória")</f>
        <v/>
      </c>
      <c r="E25" s="24">
        <f>COUNTIFS('Casuística'!$H$3:$H$302,"=Cirurgia Pediátrica",'Casuística'!$N$3:$N$302,"=Geral",'Casuística'!$O$3:$O$302,"=Inalatória")</f>
        <v/>
      </c>
      <c r="F25" s="24">
        <f>COUNTIFS('Casuística'!$H$3:$H$302,"=Cirurgia Plástica",'Casuística'!$N$3:$N$302,"=Geral",'Casuística'!$O$3:$O$302,"=Inalatória")</f>
        <v/>
      </c>
      <c r="G25" s="24">
        <f>COUNTIFS('Casuística'!$H$3:$H$302,"=Cirurgia Vascular",'Casuística'!$N$3:$N$302,"=Geral",'Casuística'!$O$3:$O$302,"=Inalatória")</f>
        <v/>
      </c>
      <c r="H25" s="24">
        <f>COUNTIFS('Casuística'!$H$3:$H$302,"=Ginecologia/Obstetrícia",'Casuística'!$N$3:$N$302,"=Geral",'Casuística'!$O$3:$O$302,"=Inalatória")</f>
        <v/>
      </c>
      <c r="I25" s="24">
        <f>COUNTIFS('Casuística'!$H$3:$H$302,"=Neurocirurgia",'Casuística'!$N$3:$N$302,"=Geral",'Casuística'!$O$3:$O$302,"=Inalatória")</f>
        <v/>
      </c>
      <c r="J25" s="24">
        <f>COUNTIFS('Casuística'!$H$3:$H$302,"=Oftalmologia",'Casuística'!$N$3:$N$302,"=Geral",'Casuística'!$O$3:$O$302,"=Inalatória")</f>
        <v/>
      </c>
      <c r="K25" s="24">
        <f>COUNTIFS('Casuística'!$H$3:$H$302,"=ORL",'Casuística'!$N$3:$N$302,"=Geral",'Casuística'!$O$3:$O$302,"=Inalatória")</f>
        <v/>
      </c>
      <c r="L25" s="24">
        <f>COUNTIFS('Casuística'!$H$3:$H$302,"=Ortopedia",'Casuística'!$N$3:$N$302,"=Geral",'Casuística'!$O$3:$O$302,"=Inalatória")</f>
        <v/>
      </c>
      <c r="M25" s="24">
        <f>COUNTIFS('Casuística'!$H$3:$H$302,"=Urologia",'Casuística'!$N$3:$N$302,"=Geral",'Casuística'!$O$3:$O$302,"=Inalatória")</f>
        <v/>
      </c>
      <c r="N25" s="24">
        <f>COUNTIFS('Casuística'!$H$3:$H$302,"=Fora do Bloco",'Casuística'!$N$3:$N$302,"=Geral",'Casuística'!$O$3:$O$302,"=Inalatória")</f>
        <v/>
      </c>
      <c r="O25" s="18">
        <f>SUM(D25:N25)</f>
        <v/>
      </c>
    </row>
    <row r="26" ht="15" customHeight="1" s="65">
      <c r="A26" s="71" t="n"/>
      <c r="B26" s="51" t="inlineStr">
        <is>
          <t>Anestesia Regional</t>
        </is>
      </c>
      <c r="C26" s="51" t="inlineStr">
        <is>
          <t>BSA</t>
        </is>
      </c>
      <c r="D26" s="24">
        <f>COUNTIFS('Casuística'!$H$3:$H$302,"=Cirurgia Geral",'Casuística'!$N$3:$N$302,"=Regional",'Casuística'!$P$3:$P$302,"=Bloqueio Subaracnoideu")</f>
        <v/>
      </c>
      <c r="E26" s="24">
        <f>COUNTIFS('Casuística'!$H$3:$H$302,"=Cirurgia Pediátrica",'Casuística'!$N$3:$N$302,"=Regional",'Casuística'!$P$3:$P$302,"=Bloqueio Subaracnoideu")</f>
        <v/>
      </c>
      <c r="F26" s="24">
        <f>COUNTIFS('Casuística'!$H$3:$H$302,"=Cirurgia Plástica",'Casuística'!$N$3:$N$302,"=Regional",'Casuística'!$P$3:$P$302,"=Bloqueio Subaracnoideu")</f>
        <v/>
      </c>
      <c r="G26" s="24">
        <f>COUNTIFS('Casuística'!$H$3:$H$302,"=Cirurgia Vascular",'Casuística'!$N$3:$N$302,"=Regional",'Casuística'!$P$3:$P$302,"=Bloqueio Subaracnoideu")</f>
        <v/>
      </c>
      <c r="H26" s="24">
        <f>COUNTIFS('Casuística'!$H$3:$H$302,"=Ginecologia/Obstetrícia",'Casuística'!$N$3:$N$302,"=Regional",'Casuística'!$P$3:$P$302,"=Bloqueio Subaracnoideu")</f>
        <v/>
      </c>
      <c r="I26" s="24">
        <f>COUNTIFS('Casuística'!$H$3:$H$302,"=Neurocirurgia",'Casuística'!$N$3:$N$302,"=Regional",'Casuística'!$P$3:$P$302,"=Bloqueio Subaracnoideu")</f>
        <v/>
      </c>
      <c r="J26" s="24">
        <f>COUNTIFS('Casuística'!$H$3:$H$302,"=Oftalmologia",'Casuística'!$N$3:$N$302,"=Regional",'Casuística'!$P$3:$P$302,"=Bloqueio Subaracnoideu")</f>
        <v/>
      </c>
      <c r="K26" s="24">
        <f>COUNTIFS('Casuística'!$H$3:$H$302,"=ORL",'Casuística'!$N$3:$N$302,"=Regional",'Casuística'!$P$3:$P$302,"=Bloqueio Subaracnoideu")</f>
        <v/>
      </c>
      <c r="L26" s="24">
        <f>COUNTIFS('Casuística'!$H$3:$H$302,"=Ortopedia",'Casuística'!$N$3:$N$302,"=Regional",'Casuística'!$P$3:$P$302,"=Bloqueio Subaracnoideu")</f>
        <v/>
      </c>
      <c r="M26" s="24">
        <f>COUNTIFS('Casuística'!$H$3:$H$302,"=Urologia",'Casuística'!$N$3:$N$302,"=Regional",'Casuística'!$P$3:$P$302,"=Bloqueio Subaracnoideu")</f>
        <v/>
      </c>
      <c r="N26" s="24">
        <f>COUNTIFS('Casuística'!$H$3:$H$302,"=Fora do Bloco",'Casuística'!$N$3:$N$302,"=Regional",'Casuística'!$P$3:$P$302,"=Bloqueio Subaracnoideu")</f>
        <v/>
      </c>
      <c r="O26" s="18">
        <f>SUM(D26:N26)</f>
        <v/>
      </c>
    </row>
    <row r="27" ht="15.75" customHeight="1" s="65">
      <c r="A27" s="71" t="n"/>
      <c r="B27" s="71" t="n"/>
      <c r="C27" s="51" t="inlineStr">
        <is>
          <t>Epidural</t>
        </is>
      </c>
      <c r="D27" s="24">
        <f>COUNTIFS('Casuística'!$H$3:$H$302,"=Cirurgia Geral",'Casuística'!$N$3:$N$302,"=Regional",'Casuística'!$P$3:$P$302,"=Epidural*")</f>
        <v/>
      </c>
      <c r="E27" s="24">
        <f>COUNTIFS('Casuística'!$H$3:$H$302,"=Cirurgia Pediátrica",'Casuística'!$N$3:$N$302,"=Regional",'Casuística'!$P$3:$P$302,"=Epidural*")</f>
        <v/>
      </c>
      <c r="F27" s="24">
        <f>COUNTIFS('Casuística'!$H$3:$H$302,"=Cirurgia Plástica",'Casuística'!$N$3:$N$302,"=Regional",'Casuística'!$P$3:$P$302,"=Epidural*")</f>
        <v/>
      </c>
      <c r="G27" s="24">
        <f>COUNTIFS('Casuística'!$H$3:$H$302,"=Cirurgia Vascular",'Casuística'!$N$3:$N$302,"=Regional",'Casuística'!$P$3:$P$302,"=Epidural*")</f>
        <v/>
      </c>
      <c r="H27" s="24">
        <f>COUNTIFS('Casuística'!$H$3:$H$302,"=Ginecologia/Obstetrícia",'Casuística'!$N$3:$N$302,"=Regional",'Casuística'!$P$3:$P$302,"=Epidural*")</f>
        <v/>
      </c>
      <c r="I27" s="24">
        <f>COUNTIFS('Casuística'!$H$3:$H$302,"=Neurocirurgia",'Casuística'!$N$3:$N$302,"=Regional",'Casuística'!$P$3:$P$302,"=Epidural*")</f>
        <v/>
      </c>
      <c r="J27" s="24">
        <f>COUNTIFS('Casuística'!$H$3:$H$302,"=Oftalmologia",'Casuística'!$N$3:$N$302,"=Regional",'Casuística'!$P$3:$P$302,"=Epidural*")</f>
        <v/>
      </c>
      <c r="K27" s="24">
        <f>COUNTIFS('Casuística'!$H$3:$H$302,"=ORL",'Casuística'!$N$3:$N$302,"=Regional",'Casuística'!$P$3:$P$302,"=Epidural*")</f>
        <v/>
      </c>
      <c r="L27" s="24">
        <f>COUNTIFS('Casuística'!$H$3:$H$302,"=Ortopedia",'Casuística'!$N$3:$N$302,"=Regional",'Casuística'!$P$3:$P$302,"=Epidural*")</f>
        <v/>
      </c>
      <c r="M27" s="24">
        <f>COUNTIFS('Casuística'!$H$3:$H$302,"=Urologia",'Casuística'!$N$3:$N$302,"=Regional",'Casuística'!$P$3:$P$302,"=Epidural*")</f>
        <v/>
      </c>
      <c r="N27" s="24">
        <f>COUNTIFS('Casuística'!$H$3:$H$302,"=Fora do Bloco",'Casuística'!$N$3:$N$302,"=Regional",'Casuística'!$P$3:$P$302,"=Epidural*")</f>
        <v/>
      </c>
      <c r="O27" s="18">
        <f>SUM(D27:N27)</f>
        <v/>
      </c>
    </row>
    <row r="28" ht="15.75" customHeight="1" s="65">
      <c r="A28" s="71" t="n"/>
      <c r="B28" s="71" t="n"/>
      <c r="C28" s="51" t="inlineStr">
        <is>
          <t>Sequencial</t>
        </is>
      </c>
      <c r="D28" s="24">
        <f>COUNTIFS('Casuística'!$H$3:$H$302,"=Cirurgia Geral",'Casuística'!$N$3:$N$302,"=Regional",'Casuística'!$P$3:$P$302,"=Sequencial")</f>
        <v/>
      </c>
      <c r="E28" s="24">
        <f>COUNTIFS('Casuística'!$H$3:$H$302,"=Cirurgia Pediátrica",'Casuística'!$N$3:$N$302,"=Regional",'Casuística'!$P$3:$P$302,"=Sequencial")</f>
        <v/>
      </c>
      <c r="F28" s="24">
        <f>COUNTIFS('Casuística'!$H$3:$H$302,"=Cirurgia Plástica",'Casuística'!$N$3:$N$302,"=Regional",'Casuística'!$P$3:$P$302,"=Sequencial")</f>
        <v/>
      </c>
      <c r="G28" s="24">
        <f>COUNTIFS('Casuística'!$H$3:$H$302,"=Cirurgia Vascular",'Casuística'!$N$3:$N$302,"=Regional",'Casuística'!$P$3:$P$302,"=Sequencial")</f>
        <v/>
      </c>
      <c r="H28" s="24">
        <f>COUNTIFS('Casuística'!$H$3:$H$302,"=Ginecologia/Obstetrícia",'Casuística'!$N$3:$N$302,"=Regional",'Casuística'!$P$3:$P$302,"=Sequencial")</f>
        <v/>
      </c>
      <c r="I28" s="24">
        <f>COUNTIFS('Casuística'!$H$3:$H$302,"=Neurocirurgia",'Casuística'!$N$3:$N$302,"=Regional",'Casuística'!$P$3:$P$302,"=Sequencial")</f>
        <v/>
      </c>
      <c r="J28" s="24">
        <f>COUNTIFS('Casuística'!$H$3:$H$302,"=Oftalmologia",'Casuística'!$N$3:$N$302,"=Regional",'Casuística'!$P$3:$P$302,"=Sequencial")</f>
        <v/>
      </c>
      <c r="K28" s="24">
        <f>COUNTIFS('Casuística'!$H$3:$H$302,"=ORL",'Casuística'!$N$3:$N$302,"=Regional",'Casuística'!$P$3:$P$302,"=Sequencial")</f>
        <v/>
      </c>
      <c r="L28" s="24">
        <f>COUNTIFS('Casuística'!$H$3:$H$302,"=Ortopedia",'Casuística'!$N$3:$N$302,"=Regional",'Casuística'!$P$3:$P$302,"=Sequencial")</f>
        <v/>
      </c>
      <c r="M28" s="24">
        <f>COUNTIFS('Casuística'!$H$3:$H$302,"=Urologia",'Casuística'!$N$3:$N$302,"=Regional",'Casuística'!$P$3:$P$302,"=Sequencial")</f>
        <v/>
      </c>
      <c r="N28" s="24">
        <f>COUNTIFS('Casuística'!$H$3:$H$302,"=Fora do Bloco",'Casuística'!$N$3:$N$302,"=Regional",'Casuística'!$P$3:$P$302,"=Sequencial")</f>
        <v/>
      </c>
      <c r="O28" s="18">
        <f>SUM(D28:N28)</f>
        <v/>
      </c>
    </row>
    <row r="29" ht="15.75" customHeight="1" s="65">
      <c r="A29" s="71" t="n"/>
      <c r="B29" s="72" t="n"/>
      <c r="C29" s="51" t="inlineStr">
        <is>
          <t>BNP</t>
        </is>
      </c>
      <c r="D29" s="24">
        <f>COUNTIFS('Casuística'!$H$3:$H$302,"=Cirurgia Geral",'Casuística'!$N$3:$N$302,"=Regional",'Casuística'!$P$3:$P$302,"",'Casuística'!$T$3:$T$302,"&lt;&gt;")</f>
        <v/>
      </c>
      <c r="E29" s="24">
        <f>COUNTIFS('Casuística'!$H$3:$H$302,"=Cirurgia Pediátrica",'Casuística'!$N$3:$N$302,"=Regional",'Casuística'!$P$3:$P$302,"",'Casuística'!$T$3:$T$302,"&lt;&gt;")</f>
        <v/>
      </c>
      <c r="F29" s="24">
        <f>COUNTIFS('Casuística'!$H$3:$H$302,"=Cirurgia Plástica",'Casuística'!$N$3:$N$302,"=Regional",'Casuística'!$P$3:$P$302,"",'Casuística'!$T$3:$T$302,"&lt;&gt;")</f>
        <v/>
      </c>
      <c r="G29" s="24">
        <f>COUNTIFS('Casuística'!$H$3:$H$302,"=Cirurgia Vascular",'Casuística'!$N$3:$N$302,"=Regional",'Casuística'!$P$3:$P$302,"",'Casuística'!$T$3:$T$302,"&lt;&gt;")</f>
        <v/>
      </c>
      <c r="H29" s="24">
        <f>COUNTIFS('Casuística'!$H$3:$H$302,"=Ginecologia/Obstetrícia",'Casuística'!$N$3:$N$302,"=Regional",'Casuística'!$P$3:$P$302,"",'Casuística'!$T$3:$T$302,"&lt;&gt;")</f>
        <v/>
      </c>
      <c r="I29" s="24">
        <f>COUNTIFS('Casuística'!$H$3:$H$302,"=Neurocirurgia",'Casuística'!$N$3:$N$302,"=Regional",'Casuística'!$P$3:$P$302,"",'Casuística'!$T$3:$T$302,"&lt;&gt;")</f>
        <v/>
      </c>
      <c r="J29" s="24">
        <f>COUNTIFS('Casuística'!$H$3:$H$302,"=Oftalmologia",'Casuística'!$N$3:$N$302,"=Regional",'Casuística'!$P$3:$P$302,"",'Casuística'!$T$3:$T$302,"&lt;&gt;")</f>
        <v/>
      </c>
      <c r="K29" s="24">
        <f>COUNTIFS('Casuística'!$H$3:$H$302,"=ORL",'Casuística'!$N$3:$N$302,"=Regional",'Casuística'!$P$3:$P$302,"",'Casuística'!$T$3:$T$302,"&lt;&gt;")</f>
        <v/>
      </c>
      <c r="L29" s="24">
        <f>COUNTIFS('Casuística'!$H$3:$H$302,"=Ortopedia",'Casuística'!$N$3:$N$302,"=Regional",'Casuística'!$P$3:$P$302,"",'Casuística'!$T$3:$T$302,"&lt;&gt;")</f>
        <v/>
      </c>
      <c r="M29" s="24">
        <f>COUNTIFS('Casuística'!$H$3:$H$302,"=Urologia",'Casuística'!$N$3:$N$302,"=Regional",'Casuística'!$P$3:$P$302,"",'Casuística'!$T$3:$T$302,"&lt;&gt;")</f>
        <v/>
      </c>
      <c r="N29" s="24">
        <f>COUNTIFS('Casuística'!$H$3:$H$302,"=Fora do Bloco",'Casuística'!$N$3:$N$302,"=Regional",'Casuística'!$P$3:$P$302,"",'Casuística'!$T$3:$T$302,"&lt;&gt;")</f>
        <v/>
      </c>
      <c r="O29" s="18">
        <f>SUM(D29:N29)</f>
        <v/>
      </c>
    </row>
    <row r="30" ht="15" customHeight="1" s="65">
      <c r="A30" s="71" t="n"/>
      <c r="B30" s="51" t="inlineStr">
        <is>
          <t>Anestesia Combinada</t>
        </is>
      </c>
      <c r="C30" s="66" t="n"/>
      <c r="D30" s="24">
        <f>COUNTIFS('Casuística'!$H$3:$H$302,"=Cirurgia Geral",'Casuística'!$N$3:$N$302,"=Combinada")</f>
        <v/>
      </c>
      <c r="E30" s="24">
        <f>COUNTIFS('Casuística'!$H$3:$H$302,"=Cirurgia Pediátrica",'Casuística'!$N$3:$N$302,"=Combinada")</f>
        <v/>
      </c>
      <c r="F30" s="24">
        <f>COUNTIFS('Casuística'!$H$3:$H$302,"=Cirurgia Plástica",'Casuística'!$N$3:$N$302,"=Combinada")</f>
        <v/>
      </c>
      <c r="G30" s="24">
        <f>COUNTIFS('Casuística'!$H$3:$H$302,"=Cirurgia Vascular",'Casuística'!$N$3:$N$302,"=Combinada")</f>
        <v/>
      </c>
      <c r="H30" s="24">
        <f>COUNTIFS('Casuística'!$H$3:$H$302,"=Ginecologia/Obstetrícia",'Casuística'!$N$3:$N$302,"=Combinada")</f>
        <v/>
      </c>
      <c r="I30" s="24">
        <f>COUNTIFS('Casuística'!$H$3:$H$302,"=Neurocirurgia",'Casuística'!$N$3:$N$302,"=Combinada")</f>
        <v/>
      </c>
      <c r="J30" s="24">
        <f>COUNTIFS('Casuística'!$H$3:$H$302,"=Oftalmologia",'Casuística'!$N$3:$N$302,"=Combinada")</f>
        <v/>
      </c>
      <c r="K30" s="24">
        <f>COUNTIFS('Casuística'!$H$3:$H$302,"=ORL",'Casuística'!$N$3:$N$302,"=Combinada")</f>
        <v/>
      </c>
      <c r="L30" s="24">
        <f>COUNTIFS('Casuística'!$H$3:$H$302,"=Ortopedia",'Casuística'!$N$3:$N$302,"=Combinada")</f>
        <v/>
      </c>
      <c r="M30" s="24">
        <f>COUNTIFS('Casuística'!$H$3:$H$302,"=Urologia",'Casuística'!$N$3:$N$302,"=Combinada")</f>
        <v/>
      </c>
      <c r="N30" s="24">
        <f>COUNTIFS('Casuística'!$H$3:$H$302,"=Fora do Bloco",'Casuística'!$N$3:$N$302,"=Combinada")</f>
        <v/>
      </c>
      <c r="O30" s="18">
        <f>SUM(D30:N30)</f>
        <v/>
      </c>
    </row>
    <row r="31" ht="15" customHeight="1" s="65">
      <c r="A31" s="71" t="n"/>
      <c r="B31" s="51" t="inlineStr">
        <is>
          <t>Sedoanalgesia</t>
        </is>
      </c>
      <c r="C31" s="66" t="n"/>
      <c r="D31" s="24">
        <f>COUNTIFS('Casuística'!$H$3:$H$302,"=Cirurgia Geral",'Casuística'!$N$3:$N$302,"=Sedoanalgesia")</f>
        <v/>
      </c>
      <c r="E31" s="24">
        <f>COUNTIFS('Casuística'!$H$3:$H$302,"=Cirurgia Pediátrica",'Casuística'!$N$3:$N$302,"=Sedoanalgesia")</f>
        <v/>
      </c>
      <c r="F31" s="24">
        <f>COUNTIFS('Casuística'!$H$3:$H$302,"=Cirurgia Plástica",'Casuística'!$N$3:$N$302,"=Sedoanalgesia")</f>
        <v/>
      </c>
      <c r="G31" s="24">
        <f>COUNTIFS('Casuística'!$H$3:$H$302,"=Cirurgia Vascular",'Casuística'!$N$3:$N$302,"=Sedoanalgesia")</f>
        <v/>
      </c>
      <c r="H31" s="24">
        <f>COUNTIFS('Casuística'!$H$3:$H$302,"=Ginecologia/Obstetrícia",'Casuística'!$N$3:$N$302,"=Sedoanalgesia")</f>
        <v/>
      </c>
      <c r="I31" s="24">
        <f>COUNTIFS('Casuística'!$H$3:$H$302,"=Neurocirurgia",'Casuística'!$N$3:$N$302,"=Sedoanalgesia")</f>
        <v/>
      </c>
      <c r="J31" s="24">
        <f>COUNTIFS('Casuística'!$H$3:$H$302,"=Oftalmologia",'Casuística'!$N$3:$N$302,"=Sedoanalgesia")</f>
        <v/>
      </c>
      <c r="K31" s="24">
        <f>COUNTIFS('Casuística'!$H$3:$H$302,"=ORL",'Casuística'!$N$3:$N$302,"=Sedoanalgesia")</f>
        <v/>
      </c>
      <c r="L31" s="24">
        <f>COUNTIFS('Casuística'!$H$3:$H$302,"=Ortopedia",'Casuística'!$N$3:$N$302,"=Sedoanalgesia")</f>
        <v/>
      </c>
      <c r="M31" s="24">
        <f>COUNTIFS('Casuística'!$H$3:$H$302,"=Urologia",'Casuística'!$N$3:$N$302,"=Sedoanalgesia")</f>
        <v/>
      </c>
      <c r="N31" s="24">
        <f>COUNTIFS('Casuística'!$H$3:$H$302,"=Fora do Bloco",'Casuística'!$N$3:$N$302,"=Sedoanalgesia")</f>
        <v/>
      </c>
      <c r="O31" s="18">
        <f>SUM(D31:N31)</f>
        <v/>
      </c>
    </row>
    <row r="32" ht="15" customHeight="1" s="65">
      <c r="A32" s="72" t="n"/>
      <c r="B32" s="51" t="inlineStr">
        <is>
          <t>Monitorização (CAM)</t>
        </is>
      </c>
      <c r="C32" s="66" t="n"/>
      <c r="D32" s="24">
        <f>COUNTIFS('Casuística'!$H$3:$H$302,"=Cirurgia Geral",'Casuística'!$N$3:$N$302,"=Monitorização (CAM)")</f>
        <v/>
      </c>
      <c r="E32" s="24">
        <f>COUNTIFS('Casuística'!$H$3:$H$302,"=Cirurgia Pediátrica",'Casuística'!$N$3:$N$302,"=Monitorização (CAM)")</f>
        <v/>
      </c>
      <c r="F32" s="24">
        <f>COUNTIFS('Casuística'!$H$3:$H$302,"=Cirurgia Plástica",'Casuística'!$N$3:$N$302,"=Monitorização (CAM)")</f>
        <v/>
      </c>
      <c r="G32" s="24">
        <f>COUNTIFS('Casuística'!$H$3:$H$302,"=Cirurgia Vascular",'Casuística'!$N$3:$N$302,"=Monitorização (CAM)")</f>
        <v/>
      </c>
      <c r="H32" s="24">
        <f>COUNTIFS('Casuística'!$H$3:$H$302,"=Ginecologia/Obstetrícia",'Casuística'!$N$3:$N$302,"=Monitorização (CAM)")</f>
        <v/>
      </c>
      <c r="I32" s="24">
        <f>COUNTIFS('Casuística'!$H$3:$H$302,"=Neurocirurgia",'Casuística'!$N$3:$N$302,"=Monitorização (CAM)")</f>
        <v/>
      </c>
      <c r="J32" s="24">
        <f>COUNTIFS('Casuística'!$H$3:$H$302,"=Oftalmologia",'Casuística'!$N$3:$N$302,"=Monitorização (CAM)")</f>
        <v/>
      </c>
      <c r="K32" s="24">
        <f>COUNTIFS('Casuística'!$H$3:$H$302,"=ORL",'Casuística'!$N$3:$N$302,"=Monitorização (CAM)")</f>
        <v/>
      </c>
      <c r="L32" s="24">
        <f>COUNTIFS('Casuística'!$H$3:$H$302,"=Ortopedia",'Casuística'!$N$3:$N$302,"=Monitorização (CAM)")</f>
        <v/>
      </c>
      <c r="M32" s="24">
        <f>COUNTIFS('Casuística'!$H$3:$H$302,"=Urologia",'Casuística'!$N$3:$N$302,"=Monitorização (CAM)")</f>
        <v/>
      </c>
      <c r="N32" s="24">
        <f>COUNTIFS('Casuística'!$H$3:$H$302,"=Fora do Bloco",'Casuística'!$N$3:$N$302,"=Monitorização (CAM)")</f>
        <v/>
      </c>
      <c r="O32" s="18">
        <f>SUM(D32:N32)</f>
        <v/>
      </c>
    </row>
    <row r="33" ht="15" customHeight="1" s="65">
      <c r="A33" s="47" t="inlineStr">
        <is>
          <t>DURAÇÃO</t>
        </is>
      </c>
      <c r="B33" s="51" t="inlineStr">
        <is>
          <t>&lt; 60 minutos</t>
        </is>
      </c>
      <c r="C33" s="66" t="n"/>
      <c r="D33" s="24">
        <f>COUNTIFS('Casuística'!$H$3:$H$302,"=Cirurgia Geral",'Casuística'!$M$3:$M$302,"=&lt; 1h")</f>
        <v/>
      </c>
      <c r="E33" s="24">
        <f>COUNTIFS('Casuística'!$H$3:$H$302,"=Cirurgia Pediátrica",'Casuística'!$M$3:$M$302,"=&lt; 1h")</f>
        <v/>
      </c>
      <c r="F33" s="24">
        <f>COUNTIFS('Casuística'!$H$3:$H$302,"=Cirurgia Plástica",'Casuística'!$M$3:$M$302,"=&lt; 1h")</f>
        <v/>
      </c>
      <c r="G33" s="24">
        <f>COUNTIFS('Casuística'!$H$3:$H$302,"=Cirurgia Vascular",'Casuística'!$M$3:$M$302,"=&lt; 1h")</f>
        <v/>
      </c>
      <c r="H33" s="24">
        <f>COUNTIFS('Casuística'!$H$3:$H$302,"=Ginecologia/Obstetrícia",'Casuística'!$M$3:$M$302,"=&lt; 1h")</f>
        <v/>
      </c>
      <c r="I33" s="24">
        <f>COUNTIFS('Casuística'!$H$3:$H$302,"=Neurocirurgia",'Casuística'!$M$3:$M$302,"=&lt; 1h")</f>
        <v/>
      </c>
      <c r="J33" s="24">
        <f>COUNTIFS('Casuística'!$H$3:$H$302,"=Oftalmologia",'Casuística'!$M$3:$M$302,"=&lt; 1h")</f>
        <v/>
      </c>
      <c r="K33" s="24">
        <f>COUNTIFS('Casuística'!$H$3:$H$302,"=ORL",'Casuística'!$M$3:$M$302,"=&lt; 1h")</f>
        <v/>
      </c>
      <c r="L33" s="24">
        <f>COUNTIFS('Casuística'!$H$3:$H$302,"=Ortopedia",'Casuística'!$M$3:$M$302,"=&lt; 1h")</f>
        <v/>
      </c>
      <c r="M33" s="24">
        <f>COUNTIFS('Casuística'!$H$3:$H$302,"=Urologia",'Casuística'!$M$3:$M$302,"=&lt; 1h")</f>
        <v/>
      </c>
      <c r="N33" s="24">
        <f>COUNTIFS('Casuística'!$H$3:$H$302,"=Fora do Bloco",'Casuística'!$M$3:$M$302,"=&lt; 1h")</f>
        <v/>
      </c>
      <c r="O33" s="18">
        <f>SUM(D33:N33)</f>
        <v/>
      </c>
    </row>
    <row r="34" ht="15" customHeight="1" s="65">
      <c r="A34" s="71" t="n"/>
      <c r="B34" s="51" t="inlineStr">
        <is>
          <t>60 minutos a 3 horas</t>
        </is>
      </c>
      <c r="C34" s="66" t="n"/>
      <c r="D34" s="24">
        <f>COUNTIFS('Casuística'!$H$3:$H$302,"=Cirurgia Geral",'Casuística'!$M$3:$M$302,"=1 a 3 horas")</f>
        <v/>
      </c>
      <c r="E34" s="24">
        <f>COUNTIFS('Casuística'!$H$3:$H$302,"=Cirurgia Pediátrica",'Casuística'!$M$3:$M$302,"=1 a 3 horas")</f>
        <v/>
      </c>
      <c r="F34" s="24">
        <f>COUNTIFS('Casuística'!$H$3:$H$302,"=Cirurgia Plástica",'Casuística'!$M$3:$M$302,"=1 a 3 horas")</f>
        <v/>
      </c>
      <c r="G34" s="24">
        <f>COUNTIFS('Casuística'!$H$3:$H$302,"=Cirurgia Vascular",'Casuística'!$M$3:$M$302,"=1 a 3 horas")</f>
        <v/>
      </c>
      <c r="H34" s="24">
        <f>COUNTIFS('Casuística'!$H$3:$H$302,"=Ginecologia/Obstetrícia",'Casuística'!$M$3:$M$302,"=1 a 3 horas")</f>
        <v/>
      </c>
      <c r="I34" s="24">
        <f>COUNTIFS('Casuística'!$H$3:$H$302,"=Neurocirurgia",'Casuística'!$M$3:$M$302,"=1 a 3 horas")</f>
        <v/>
      </c>
      <c r="J34" s="24">
        <f>COUNTIFS('Casuística'!$H$3:$H$302,"=Oftalmologia",'Casuística'!$M$3:$M$302,"=1 a 3 horas")</f>
        <v/>
      </c>
      <c r="K34" s="24">
        <f>COUNTIFS('Casuística'!$H$3:$H$302,"=ORL",'Casuística'!$M$3:$M$302,"=1 a 3 horas")</f>
        <v/>
      </c>
      <c r="L34" s="24">
        <f>COUNTIFS('Casuística'!$H$3:$H$302,"=Ortopedia",'Casuística'!$M$3:$M$302,"=1 a 3 horas")</f>
        <v/>
      </c>
      <c r="M34" s="24">
        <f>COUNTIFS('Casuística'!$H$3:$H$302,"=Urologia",'Casuística'!$M$3:$M$302,"=1 a 3 horas")</f>
        <v/>
      </c>
      <c r="N34" s="24">
        <f>COUNTIFS('Casuística'!$H$3:$H$302,"=Fora do Bloco",'Casuística'!$M$3:$M$302,"=1 a 3 horas")</f>
        <v/>
      </c>
      <c r="O34" s="18">
        <f>SUM(D34:N34)</f>
        <v/>
      </c>
    </row>
    <row r="35" ht="15" customHeight="1" s="65">
      <c r="A35" s="72" t="n"/>
      <c r="B35" s="51" t="inlineStr">
        <is>
          <t>&gt; 3 horas</t>
        </is>
      </c>
      <c r="C35" s="66" t="n"/>
      <c r="D35" s="24">
        <f>COUNTIFS('Casuística'!$H$3:$H$302,"=Cirurgia Geral",'Casuística'!$M$3:$M$302,"=&gt; 3 horas")</f>
        <v/>
      </c>
      <c r="E35" s="24">
        <f>COUNTIFS('Casuística'!$H$3:$H$302,"=Cirurgia Pediátrica",'Casuística'!$M$3:$M$302,"=&gt; 3 horas")</f>
        <v/>
      </c>
      <c r="F35" s="24">
        <f>COUNTIFS('Casuística'!$H$3:$H$302,"=Cirurgia Plástica",'Casuística'!$M$3:$M$302,"=&gt; 3 horas")</f>
        <v/>
      </c>
      <c r="G35" s="24">
        <f>COUNTIFS('Casuística'!$H$3:$H$302,"=Cirurgia Vascular",'Casuística'!$M$3:$M$302,"=&gt; 3 horas")</f>
        <v/>
      </c>
      <c r="H35" s="24">
        <f>COUNTIFS('Casuística'!$H$3:$H$302,"=Ginecologia/Obstetrícia",'Casuística'!$M$3:$M$302,"=&gt; 3 horas")</f>
        <v/>
      </c>
      <c r="I35" s="24">
        <f>COUNTIFS('Casuística'!$H$3:$H$302,"=Neurocirurgia",'Casuística'!$M$3:$M$302,"=&gt; 3 horas")</f>
        <v/>
      </c>
      <c r="J35" s="24">
        <f>COUNTIFS('Casuística'!$H$3:$H$302,"=Oftalmologia",'Casuística'!$M$3:$M$302,"=&gt; 3 horas")</f>
        <v/>
      </c>
      <c r="K35" s="24">
        <f>COUNTIFS('Casuística'!$H$3:$H$302,"=ORL",'Casuística'!$M$3:$M$302,"=&gt; 3 horas")</f>
        <v/>
      </c>
      <c r="L35" s="24">
        <f>COUNTIFS('Casuística'!$H$3:$H$302,"=Ortopedia",'Casuística'!$M$3:$M$302,"=&gt; 3 horas")</f>
        <v/>
      </c>
      <c r="M35" s="24">
        <f>COUNTIFS('Casuística'!$H$3:$H$302,"=Urologia",'Casuística'!$M$3:$M$302,"=&gt; 3 horas")</f>
        <v/>
      </c>
      <c r="N35" s="24">
        <f>COUNTIFS('Casuística'!$H$3:$H$302,"=Fora do Bloco",'Casuística'!$M$3:$M$302,"=&gt; 3 horas")</f>
        <v/>
      </c>
      <c r="O35" s="18">
        <f>SUM(D35:N35)</f>
        <v/>
      </c>
    </row>
    <row r="36" ht="15.75" customHeight="1" s="65"/>
    <row r="37" ht="15.75" customHeight="1" s="65">
      <c r="A37" s="64" t="inlineStr">
        <is>
          <t>Tabela 19. Casuística no Serviço de Urgência</t>
        </is>
      </c>
    </row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34">
    <mergeCell ref="A18:A22"/>
    <mergeCell ref="B16:C16"/>
    <mergeCell ref="B7:C7"/>
    <mergeCell ref="A33:A35"/>
    <mergeCell ref="B22:C22"/>
    <mergeCell ref="A3:C3"/>
    <mergeCell ref="A5:A7"/>
    <mergeCell ref="B31:C31"/>
    <mergeCell ref="B18:C18"/>
    <mergeCell ref="A10:A17"/>
    <mergeCell ref="B12:C12"/>
    <mergeCell ref="B21:C21"/>
    <mergeCell ref="B11:C11"/>
    <mergeCell ref="B14:C14"/>
    <mergeCell ref="B17:C17"/>
    <mergeCell ref="A4:C4"/>
    <mergeCell ref="B8:C8"/>
    <mergeCell ref="B13:C13"/>
    <mergeCell ref="A8:A9"/>
    <mergeCell ref="B19:C19"/>
    <mergeCell ref="B34:C34"/>
    <mergeCell ref="B10:C10"/>
    <mergeCell ref="B9:C9"/>
    <mergeCell ref="B6:C6"/>
    <mergeCell ref="B30:C30"/>
    <mergeCell ref="B23:B25"/>
    <mergeCell ref="B15:C15"/>
    <mergeCell ref="B33:C33"/>
    <mergeCell ref="B5:C5"/>
    <mergeCell ref="B20:C20"/>
    <mergeCell ref="B26:B29"/>
    <mergeCell ref="B32:C32"/>
    <mergeCell ref="A23:A32"/>
    <mergeCell ref="B35:C35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B7B7B7"/>
    <outlinePr summaryBelow="1" summaryRight="1"/>
    <pageSetUpPr/>
  </sheetPr>
  <dimension ref="A1:W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Col="0"/>
  <cols>
    <col width="21" customWidth="1" style="65" min="1" max="1"/>
    <col width="14" customWidth="1" style="65" min="2" max="3"/>
    <col width="27" customWidth="1" style="65" min="4" max="4"/>
    <col width="25" customWidth="1" style="65" min="5" max="5"/>
    <col width="21" customWidth="1" style="65" min="6" max="6"/>
    <col width="14" customWidth="1" style="65" min="7" max="7"/>
    <col width="21" customWidth="1" style="65" min="8" max="8"/>
    <col width="17" customWidth="1" style="65" min="9" max="9"/>
    <col width="24" customWidth="1" style="65" min="10" max="10"/>
    <col width="38" customWidth="1" style="65" min="11" max="11"/>
    <col width="24" customWidth="1" style="65" min="12" max="12"/>
    <col width="14" customWidth="1" style="65" min="13" max="14"/>
    <col width="29" customWidth="1" style="65" min="15" max="15"/>
    <col width="24" customWidth="1" style="65" min="16" max="16"/>
    <col width="22" customWidth="1" style="65" min="17" max="17"/>
    <col width="31" customWidth="1" style="65" min="18" max="18"/>
    <col width="18" customWidth="1" style="65" min="19" max="19"/>
    <col width="16" customWidth="1" style="65" min="20" max="20"/>
    <col width="17" customWidth="1" style="65" min="21" max="21"/>
    <col width="14" customWidth="1" style="65" min="22" max="23"/>
    <col width="8.710000000000001" customWidth="1" style="65" min="24" max="26"/>
  </cols>
  <sheetData>
    <row r="1">
      <c r="A1" s="1" t="inlineStr">
        <is>
          <t>Opções das caixas de escolha (acrescenta valores no fim de cada coluna)</t>
        </is>
      </c>
    </row>
    <row r="2">
      <c r="A2" s="4" t="inlineStr">
        <is>
          <t>Grupo Etário</t>
        </is>
      </c>
      <c r="B2" s="4" t="inlineStr">
        <is>
          <t>Sexo</t>
        </is>
      </c>
      <c r="C2" s="4" t="inlineStr">
        <is>
          <t>ASA</t>
        </is>
      </c>
      <c r="D2" s="4" t="inlineStr">
        <is>
          <t>Regime</t>
        </is>
      </c>
      <c r="E2" s="4" t="inlineStr">
        <is>
          <t>Especialidade</t>
        </is>
      </c>
      <c r="F2" s="4" t="inlineStr">
        <is>
          <t>Local fora do BO</t>
        </is>
      </c>
      <c r="G2" s="4" t="inlineStr">
        <is>
          <t>Duração</t>
        </is>
      </c>
      <c r="H2" s="4" t="inlineStr">
        <is>
          <t>Técnica Anestésica</t>
        </is>
      </c>
      <c r="I2" s="4" t="inlineStr">
        <is>
          <t>Anestesia Geral</t>
        </is>
      </c>
      <c r="J2" s="4" t="inlineStr">
        <is>
          <t>Neuroeixo</t>
        </is>
      </c>
      <c r="K2" s="4" t="inlineStr">
        <is>
          <t>Bloqueio Periférico</t>
        </is>
      </c>
      <c r="L2" s="4" t="inlineStr">
        <is>
          <t>Método</t>
        </is>
      </c>
      <c r="M2" s="4" t="inlineStr">
        <is>
          <t>Intuito</t>
        </is>
      </c>
      <c r="N2" s="4" t="inlineStr">
        <is>
          <t>Sucesso</t>
        </is>
      </c>
      <c r="O2" s="4" t="inlineStr">
        <is>
          <t>Monitorização</t>
        </is>
      </c>
      <c r="P2" s="4" t="inlineStr">
        <is>
          <t>Tipo VA</t>
        </is>
      </c>
      <c r="Q2" s="4" t="inlineStr">
        <is>
          <t>Técnica VA</t>
        </is>
      </c>
      <c r="R2" s="4" t="inlineStr">
        <is>
          <t>Laringoscópio e Adjuvantes</t>
        </is>
      </c>
      <c r="S2" s="4" t="inlineStr">
        <is>
          <t>Cormack-Lehane</t>
        </is>
      </c>
      <c r="T2" s="4" t="inlineStr">
        <is>
          <t>Linha Arterial</t>
        </is>
      </c>
      <c r="U2" s="4" t="inlineStr">
        <is>
          <t>CVC</t>
        </is>
      </c>
      <c r="V2" s="4" t="inlineStr">
        <is>
          <t>Destino</t>
        </is>
      </c>
      <c r="W2" s="4" t="inlineStr">
        <is>
          <t>Sim/Não</t>
        </is>
      </c>
    </row>
    <row r="3">
      <c r="A3" s="9" t="inlineStr">
        <is>
          <t>&lt; 24 horas</t>
        </is>
      </c>
      <c r="B3" s="9" t="inlineStr">
        <is>
          <t>Feminino</t>
        </is>
      </c>
      <c r="C3" s="9" t="inlineStr">
        <is>
          <t>I</t>
        </is>
      </c>
      <c r="D3" s="9" t="inlineStr">
        <is>
          <t>Urgência</t>
        </is>
      </c>
      <c r="E3" s="9" t="inlineStr">
        <is>
          <t>Cirurgia Geral</t>
        </is>
      </c>
      <c r="F3" s="9" t="inlineStr">
        <is>
          <t>Gastroenterologia</t>
        </is>
      </c>
      <c r="G3" s="9" t="inlineStr">
        <is>
          <t>&lt; 1h</t>
        </is>
      </c>
      <c r="H3" s="9" t="inlineStr">
        <is>
          <t>Geral</t>
        </is>
      </c>
      <c r="I3" s="9" t="inlineStr">
        <is>
          <t>Balanceada</t>
        </is>
      </c>
      <c r="J3" s="9" t="inlineStr">
        <is>
          <t>Bloqueio Subaracnoideu</t>
        </is>
      </c>
      <c r="K3" s="9" t="inlineStr">
        <is>
          <t>Plano do Transverso do Abdómen (TAP)</t>
        </is>
      </c>
      <c r="L3" s="9" t="inlineStr">
        <is>
          <t>Ecoguiado</t>
        </is>
      </c>
      <c r="M3" s="9" t="inlineStr">
        <is>
          <t>Analgésico</t>
        </is>
      </c>
      <c r="N3" s="9" t="inlineStr">
        <is>
          <t>Sucesso</t>
        </is>
      </c>
      <c r="O3" s="9" t="inlineStr">
        <is>
          <t>ASA</t>
        </is>
      </c>
      <c r="P3" s="9" t="inlineStr">
        <is>
          <t>Ventilação Espontânea</t>
        </is>
      </c>
      <c r="Q3" s="9" t="inlineStr">
        <is>
          <t>Laringoscopia direta</t>
        </is>
      </c>
      <c r="R3" s="9" t="inlineStr">
        <is>
          <t>Macintosh</t>
        </is>
      </c>
      <c r="S3" s="9" t="inlineStr">
        <is>
          <t>Fácil (CL 1-2)</t>
        </is>
      </c>
      <c r="T3" s="9" t="inlineStr">
        <is>
          <t>Radial</t>
        </is>
      </c>
      <c r="U3" s="9" t="inlineStr">
        <is>
          <t>Jugular interna</t>
        </is>
      </c>
      <c r="V3" s="9" t="inlineStr">
        <is>
          <t>UCPA</t>
        </is>
      </c>
      <c r="W3" s="9" t="inlineStr">
        <is>
          <t>Sim</t>
        </is>
      </c>
    </row>
    <row r="4">
      <c r="A4" s="9" t="inlineStr">
        <is>
          <t>24 horas a 1 mês</t>
        </is>
      </c>
      <c r="B4" s="9" t="inlineStr">
        <is>
          <t>Masculino</t>
        </is>
      </c>
      <c r="C4" s="9" t="inlineStr">
        <is>
          <t>II</t>
        </is>
      </c>
      <c r="D4" s="9" t="inlineStr">
        <is>
          <t>Internamento (programada)</t>
        </is>
      </c>
      <c r="E4" s="9" t="inlineStr">
        <is>
          <t>Cirurgia Pediátrica</t>
        </is>
      </c>
      <c r="F4" s="9" t="inlineStr">
        <is>
          <t>UCI Pediátrica</t>
        </is>
      </c>
      <c r="G4" s="9" t="inlineStr">
        <is>
          <t>1 a 3 horas</t>
        </is>
      </c>
      <c r="H4" s="9" t="inlineStr">
        <is>
          <t>Regional</t>
        </is>
      </c>
      <c r="I4" s="9" t="inlineStr">
        <is>
          <t>Endovenosa</t>
        </is>
      </c>
      <c r="J4" s="9" t="inlineStr">
        <is>
          <t>Epidural Lombar</t>
        </is>
      </c>
      <c r="K4" s="9" t="inlineStr">
        <is>
          <t>Bainha dos Retos</t>
        </is>
      </c>
      <c r="L4" s="9" t="inlineStr">
        <is>
          <t>Referências Anatómicas</t>
        </is>
      </c>
      <c r="M4" s="9" t="inlineStr">
        <is>
          <t>Anestésico</t>
        </is>
      </c>
      <c r="N4" s="9" t="inlineStr">
        <is>
          <t>Insucesso</t>
        </is>
      </c>
      <c r="O4" s="9" t="inlineStr">
        <is>
          <t>ASA + BIS</t>
        </is>
      </c>
      <c r="P4" s="9" t="inlineStr">
        <is>
          <t>Máscara Facial</t>
        </is>
      </c>
      <c r="Q4" s="9" t="inlineStr">
        <is>
          <t>Videolaringoscopia</t>
        </is>
      </c>
      <c r="R4" s="9" t="inlineStr">
        <is>
          <t>Macintosh + Condutor</t>
        </is>
      </c>
      <c r="S4" s="9" t="inlineStr">
        <is>
          <t>Difícil (CL 3-4)</t>
        </is>
      </c>
      <c r="T4" s="9" t="inlineStr">
        <is>
          <t>Umeral</t>
        </is>
      </c>
      <c r="U4" s="9" t="inlineStr">
        <is>
          <t>Subclávia</t>
        </is>
      </c>
      <c r="V4" s="9" t="inlineStr">
        <is>
          <t>SO</t>
        </is>
      </c>
      <c r="W4" s="9" t="inlineStr">
        <is>
          <t>Não</t>
        </is>
      </c>
    </row>
    <row r="5">
      <c r="A5" s="9" t="inlineStr">
        <is>
          <t>&gt; 1 mês a 6 meses</t>
        </is>
      </c>
      <c r="C5" s="9" t="inlineStr">
        <is>
          <t>III</t>
        </is>
      </c>
      <c r="D5" s="9" t="inlineStr">
        <is>
          <t>Ambulatório (programada)</t>
        </is>
      </c>
      <c r="E5" s="9" t="inlineStr">
        <is>
          <t>Cirurgia Plástica</t>
        </is>
      </c>
      <c r="F5" s="9" t="inlineStr">
        <is>
          <t>UCI</t>
        </is>
      </c>
      <c r="G5" s="9" t="inlineStr">
        <is>
          <t>&gt; 3 horas</t>
        </is>
      </c>
      <c r="H5" s="9" t="inlineStr">
        <is>
          <t>Combinada</t>
        </is>
      </c>
      <c r="I5" s="9" t="inlineStr">
        <is>
          <t>Inalatória</t>
        </is>
      </c>
      <c r="J5" s="9" t="inlineStr">
        <is>
          <t>Epidural Torácica</t>
        </is>
      </c>
      <c r="K5" s="9" t="inlineStr">
        <is>
          <t>Eretor da Espinha</t>
        </is>
      </c>
      <c r="N5" s="9" t="inlineStr">
        <is>
          <t>Observado</t>
        </is>
      </c>
      <c r="O5" s="9" t="inlineStr">
        <is>
          <t>ASA + TOF</t>
        </is>
      </c>
      <c r="P5" s="9" t="inlineStr">
        <is>
          <t>Máscara Laríngea</t>
        </is>
      </c>
      <c r="Q5" s="9" t="inlineStr">
        <is>
          <t>Fibroscopia</t>
        </is>
      </c>
      <c r="R5" s="9" t="inlineStr">
        <is>
          <t>Macintosh + Frova</t>
        </is>
      </c>
      <c r="T5" s="9" t="inlineStr">
        <is>
          <t>Femoral</t>
        </is>
      </c>
      <c r="U5" s="9" t="inlineStr">
        <is>
          <t>Femoral</t>
        </is>
      </c>
      <c r="V5" s="9" t="inlineStr">
        <is>
          <t>UCI</t>
        </is>
      </c>
    </row>
    <row r="6">
      <c r="A6" s="9" t="inlineStr">
        <is>
          <t>&gt; 6 meses a 4 anos</t>
        </is>
      </c>
      <c r="C6" s="9" t="inlineStr">
        <is>
          <t>IV</t>
        </is>
      </c>
      <c r="E6" s="9" t="inlineStr">
        <is>
          <t>Cirurgia Vascular</t>
        </is>
      </c>
      <c r="F6" s="9" t="inlineStr">
        <is>
          <t>Serviço de Urgência</t>
        </is>
      </c>
      <c r="H6" s="9" t="inlineStr">
        <is>
          <t>Sedoanalgesia</t>
        </is>
      </c>
      <c r="J6" s="9" t="inlineStr">
        <is>
          <t>Sequencial</t>
        </is>
      </c>
      <c r="K6" s="9" t="inlineStr">
        <is>
          <t>Plano Serratus Anterior</t>
        </is>
      </c>
      <c r="O6" s="9" t="inlineStr">
        <is>
          <t>ASA + PAI</t>
        </is>
      </c>
      <c r="P6" s="9" t="inlineStr">
        <is>
          <t>Intubação Orotraqueal</t>
        </is>
      </c>
      <c r="Q6" s="9" t="inlineStr">
        <is>
          <t>Fibroscopia vigil</t>
        </is>
      </c>
      <c r="R6" s="9" t="inlineStr">
        <is>
          <t>McCoy</t>
        </is>
      </c>
      <c r="T6" s="9" t="inlineStr">
        <is>
          <t>Cubital</t>
        </is>
      </c>
      <c r="U6" s="9" t="inlineStr">
        <is>
          <t>Axilar</t>
        </is>
      </c>
      <c r="V6" s="9" t="inlineStr">
        <is>
          <t>BUC</t>
        </is>
      </c>
    </row>
    <row r="7">
      <c r="A7" s="9" t="inlineStr">
        <is>
          <t>&gt; 4 anos a 12 anos</t>
        </is>
      </c>
      <c r="C7" s="9" t="inlineStr">
        <is>
          <t>V</t>
        </is>
      </c>
      <c r="E7" s="9" t="inlineStr">
        <is>
          <t>Ginecologia/Obstetrícia</t>
        </is>
      </c>
      <c r="F7" s="9" t="inlineStr">
        <is>
          <t>Imagiologia</t>
        </is>
      </c>
      <c r="H7" s="9" t="inlineStr">
        <is>
          <t>Monitorização (CAM)</t>
        </is>
      </c>
      <c r="K7" s="9" t="inlineStr">
        <is>
          <t>Paravertebral</t>
        </is>
      </c>
      <c r="O7" s="9" t="inlineStr">
        <is>
          <t>ASA + BIS + TOF</t>
        </is>
      </c>
      <c r="P7" s="9" t="inlineStr">
        <is>
          <t>Intubação Nasotraqueal</t>
        </is>
      </c>
      <c r="R7" s="9" t="inlineStr">
        <is>
          <t>Videolaringoscópio</t>
        </is>
      </c>
      <c r="T7" s="9" t="inlineStr">
        <is>
          <t>Não registado</t>
        </is>
      </c>
      <c r="U7" s="9" t="inlineStr">
        <is>
          <t>Não registado</t>
        </is>
      </c>
      <c r="V7" s="9" t="inlineStr">
        <is>
          <t>Enfermaria</t>
        </is>
      </c>
    </row>
    <row r="8">
      <c r="A8" s="9" t="inlineStr">
        <is>
          <t>&gt; 12 anos a 65 anos</t>
        </is>
      </c>
      <c r="C8" s="9" t="inlineStr">
        <is>
          <t>VI</t>
        </is>
      </c>
      <c r="E8" s="9" t="inlineStr">
        <is>
          <t>Neurocirurgia</t>
        </is>
      </c>
      <c r="F8" s="9" t="inlineStr">
        <is>
          <t>Enfermaria</t>
        </is>
      </c>
      <c r="K8" s="9" t="inlineStr">
        <is>
          <t>Plexo braquial - Interescalénico</t>
        </is>
      </c>
      <c r="O8" s="9" t="inlineStr">
        <is>
          <t>ASA + BIS + PAI</t>
        </is>
      </c>
      <c r="P8" s="9" t="inlineStr">
        <is>
          <t>Traqueostomia</t>
        </is>
      </c>
      <c r="R8" s="9" t="inlineStr">
        <is>
          <t>Videolaringoscópio + Condutor</t>
        </is>
      </c>
      <c r="V8" s="9" t="inlineStr">
        <is>
          <t>Óbito</t>
        </is>
      </c>
    </row>
    <row r="9">
      <c r="A9" s="9" t="inlineStr">
        <is>
          <t>&gt; 65 anos a 85 anos</t>
        </is>
      </c>
      <c r="E9" s="9" t="inlineStr">
        <is>
          <t>Oftalmologia</t>
        </is>
      </c>
      <c r="K9" s="9" t="inlineStr">
        <is>
          <t>Plexo braquial - Supraclavicular</t>
        </is>
      </c>
      <c r="O9" s="9" t="inlineStr">
        <is>
          <t>ASA + BIS + TOF + PAI</t>
        </is>
      </c>
      <c r="R9" s="9" t="inlineStr">
        <is>
          <t>i-Gel</t>
        </is>
      </c>
    </row>
    <row r="10">
      <c r="A10" s="9" t="inlineStr">
        <is>
          <t>&gt; 85 anos</t>
        </is>
      </c>
      <c r="E10" s="9" t="inlineStr">
        <is>
          <t>ORL</t>
        </is>
      </c>
      <c r="K10" s="9" t="inlineStr">
        <is>
          <t>Plexo braquial - Infraclavicular</t>
        </is>
      </c>
      <c r="O10" s="9" t="inlineStr">
        <is>
          <t>ASA + BIS + TOF + PAI + PVC</t>
        </is>
      </c>
      <c r="R10" s="9" t="inlineStr">
        <is>
          <t>LMA Supreme</t>
        </is>
      </c>
    </row>
    <row r="11">
      <c r="E11" s="9" t="inlineStr">
        <is>
          <t>Ortopedia</t>
        </is>
      </c>
      <c r="K11" s="9" t="inlineStr">
        <is>
          <t>Plexo braquial - Axilar</t>
        </is>
      </c>
    </row>
    <row r="12">
      <c r="E12" s="9" t="inlineStr">
        <is>
          <t>Urologia</t>
        </is>
      </c>
      <c r="K12" s="9" t="inlineStr">
        <is>
          <t>Fáscia Ilíaca</t>
        </is>
      </c>
    </row>
    <row r="13">
      <c r="E13" s="9" t="inlineStr">
        <is>
          <t>Fora do Bloco</t>
        </is>
      </c>
      <c r="K13" s="9" t="inlineStr">
        <is>
          <t>Femoral</t>
        </is>
      </c>
    </row>
    <row r="14">
      <c r="E14" s="9" t="inlineStr">
        <is>
          <t>Doente Crítico</t>
        </is>
      </c>
      <c r="K14" s="9" t="inlineStr">
        <is>
          <t>Ciático Poplíteu</t>
        </is>
      </c>
    </row>
    <row r="15">
      <c r="K15" s="9" t="inlineStr">
        <is>
          <t>Canal dos adutores</t>
        </is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76A5AF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ColWidth="14.43" defaultRowHeight="15" customHeight="1" outlineLevelCol="0"/>
  <cols>
    <col width="24" customWidth="1" style="65" min="1" max="1"/>
    <col width="30" customWidth="1" style="65" min="2" max="2"/>
    <col width="22" customWidth="1" style="65" min="3" max="3"/>
    <col width="10" customWidth="1" style="65" min="4" max="4"/>
    <col width="11" customWidth="1" style="65" min="5" max="6"/>
    <col width="9" customWidth="1" style="65" min="7" max="7"/>
    <col width="8.710000000000001" customWidth="1" style="65" min="8" max="26"/>
  </cols>
  <sheetData>
    <row r="1" ht="23.25" customHeight="1" s="65">
      <c r="A1" s="4" t="inlineStr">
        <is>
          <t>Técnicas de abordagem da via aérea</t>
        </is>
      </c>
      <c r="B1" s="67" t="n"/>
      <c r="C1" s="66" t="n"/>
      <c r="D1" s="4" t="inlineStr">
        <is>
          <t>SUCESSO</t>
        </is>
      </c>
      <c r="E1" s="4" t="inlineStr">
        <is>
          <t>INSUCESSO</t>
        </is>
      </c>
      <c r="F1" s="4" t="inlineStr">
        <is>
          <t>OBSERVADO</t>
        </is>
      </c>
      <c r="G1" s="4" t="inlineStr">
        <is>
          <t>TOTAL</t>
        </is>
      </c>
    </row>
    <row r="2" ht="23.25" customHeight="1" s="65">
      <c r="A2" s="47" t="inlineStr">
        <is>
          <t>DISPOSITIVO SUPRAGLÓTICO</t>
        </is>
      </c>
      <c r="B2" s="51" t="inlineStr">
        <is>
          <t>Máscara laríngea</t>
        </is>
      </c>
      <c r="C2" s="66" t="n"/>
      <c r="D2" s="24">
        <f>COUNTIFS('Casuística'!$Z$3:$Z$302,"=Máscara Laríngea",'Casuística'!$AD$3:$AD$302,"=Sucesso")</f>
        <v/>
      </c>
      <c r="E2" s="24">
        <f>COUNTIFS('Casuística'!$Z$3:$Z$302,"=Máscara Laríngea",'Casuística'!$AD$3:$AD$302,"=Insucesso")</f>
        <v/>
      </c>
      <c r="F2" s="24">
        <f>COUNTIFS('Casuística'!$Z$3:$Z$302,"=Máscara Laríngea",'Casuística'!$AD$3:$AD$302,"=Observado")</f>
        <v/>
      </c>
      <c r="G2" s="18">
        <f>COUNTIFS('Casuística'!$Z$3:$Z$302,"=Máscara Laríngea")</f>
        <v/>
      </c>
    </row>
    <row r="3" ht="15" customHeight="1" s="65">
      <c r="A3" s="47" t="inlineStr">
        <is>
          <t>INTUBAÇÃO OROTRAQUEAL</t>
        </is>
      </c>
      <c r="B3" s="51" t="inlineStr">
        <is>
          <t>Laringoscopia direta (Macintosh)</t>
        </is>
      </c>
      <c r="C3" s="51" t="inlineStr">
        <is>
          <t>Simples</t>
        </is>
      </c>
      <c r="D3" s="24">
        <f>COUNTIFS('Casuística'!$Z$3:$Z$302,"=Intubação Orotraqueal",'Casuística'!$AB$3:$AB$302,"=Macintosh",'Casuística'!$AD$3:$AD$302,"=Sucesso")</f>
        <v/>
      </c>
      <c r="E3" s="24">
        <f>COUNTIFS('Casuística'!$Z$3:$Z$302,"=Intubação Orotraqueal",'Casuística'!$AB$3:$AB$302,"=Macintosh",'Casuística'!$AD$3:$AD$302,"=Insucesso")</f>
        <v/>
      </c>
      <c r="F3" s="24">
        <f>COUNTIFS('Casuística'!$Z$3:$Z$302,"=Intubação Orotraqueal",'Casuística'!$AB$3:$AB$302,"=Macintosh",'Casuística'!$AD$3:$AD$302,"=Observado")</f>
        <v/>
      </c>
      <c r="G3" s="18">
        <f>COUNTIFS('Casuística'!$Z$3:$Z$302,"=Intubação Orotraqueal",'Casuística'!$AB$3:$AB$302,"=Macintosh")</f>
        <v/>
      </c>
    </row>
    <row r="4">
      <c r="A4" s="71" t="n"/>
      <c r="B4" s="71" t="n"/>
      <c r="C4" s="51" t="inlineStr">
        <is>
          <t>Condutor</t>
        </is>
      </c>
      <c r="D4" s="24">
        <f>COUNTIFS('Casuística'!$Z$3:$Z$302,"=Intubação Orotraqueal",'Casuística'!$AB$3:$AB$302,"=Macintosh + Condutor",'Casuística'!$AD$3:$AD$302,"=Sucesso")</f>
        <v/>
      </c>
      <c r="E4" s="24">
        <f>COUNTIFS('Casuística'!$Z$3:$Z$302,"=Intubação Orotraqueal",'Casuística'!$AB$3:$AB$302,"=Macintosh + Condutor",'Casuística'!$AD$3:$AD$302,"=Insucesso")</f>
        <v/>
      </c>
      <c r="F4" s="24">
        <f>COUNTIFS('Casuística'!$Z$3:$Z$302,"=Intubação Orotraqueal",'Casuística'!$AB$3:$AB$302,"=Macintosh + Condutor",'Casuística'!$AD$3:$AD$302,"=Observado")</f>
        <v/>
      </c>
      <c r="G4" s="18">
        <f>COUNTIFS('Casuística'!$Z$3:$Z$302,"=Intubação Orotraqueal",'Casuística'!$AB$3:$AB$302,"=Macintosh + Condutor")</f>
        <v/>
      </c>
    </row>
    <row r="5">
      <c r="A5" s="71" t="n"/>
      <c r="B5" s="72" t="n"/>
      <c r="C5" s="51" t="inlineStr">
        <is>
          <t>Frova</t>
        </is>
      </c>
      <c r="D5" s="24">
        <f>COUNTIFS('Casuística'!$Z$3:$Z$302,"=Intubação Orotraqueal",'Casuística'!$AB$3:$AB$302,"=Macintosh + Frova",'Casuística'!$AD$3:$AD$302,"=Sucesso")</f>
        <v/>
      </c>
      <c r="E5" s="24">
        <f>COUNTIFS('Casuística'!$Z$3:$Z$302,"=Intubação Orotraqueal",'Casuística'!$AB$3:$AB$302,"=Macintosh + Frova",'Casuística'!$AD$3:$AD$302,"=Insucesso")</f>
        <v/>
      </c>
      <c r="F5" s="24">
        <f>COUNTIFS('Casuística'!$Z$3:$Z$302,"=Intubação Orotraqueal",'Casuística'!$AB$3:$AB$302,"=Macintosh + Frova",'Casuística'!$AD$3:$AD$302,"=Observado")</f>
        <v/>
      </c>
      <c r="G5" s="18">
        <f>COUNTIFS('Casuística'!$Z$3:$Z$302,"=Intubação Orotraqueal",'Casuística'!$AB$3:$AB$302,"=Macintosh + Frova")</f>
        <v/>
      </c>
    </row>
    <row r="6" ht="15" customHeight="1" s="65">
      <c r="A6" s="71" t="n"/>
      <c r="B6" s="51" t="inlineStr">
        <is>
          <t>Laringoscopia direta (McCoy)</t>
        </is>
      </c>
      <c r="C6" s="66" t="n"/>
      <c r="D6" s="24">
        <f>COUNTIFS('Casuística'!$Z$3:$Z$302,"=Intubação Orotraqueal",'Casuística'!$AB$3:$AB$302,"=McCoy",'Casuística'!$AD$3:$AD$302,"=Sucesso")</f>
        <v/>
      </c>
      <c r="E6" s="24">
        <f>COUNTIFS('Casuística'!$Z$3:$Z$302,"=Intubação Orotraqueal",'Casuística'!$AB$3:$AB$302,"=McCoy",'Casuística'!$AD$3:$AD$302,"=Insucesso")</f>
        <v/>
      </c>
      <c r="F6" s="24">
        <f>COUNTIFS('Casuística'!$Z$3:$Z$302,"=Intubação Orotraqueal",'Casuística'!$AB$3:$AB$302,"=McCoy",'Casuística'!$AD$3:$AD$302,"=Observado")</f>
        <v/>
      </c>
      <c r="G6" s="18">
        <f>COUNTIFS('Casuística'!$Z$3:$Z$302,"=Intubação Orotraqueal",'Casuística'!$AB$3:$AB$302,"=McCoy")</f>
        <v/>
      </c>
    </row>
    <row r="7" ht="15" customHeight="1" s="65">
      <c r="A7" s="71" t="n"/>
      <c r="B7" s="51" t="inlineStr">
        <is>
          <t>Videolaringoscopia</t>
        </is>
      </c>
      <c r="C7" s="51" t="inlineStr">
        <is>
          <t>Simples</t>
        </is>
      </c>
      <c r="D7" s="24">
        <f>COUNTIFS('Casuística'!$Z$3:$Z$302,"=Intubação Orotraqueal",'Casuística'!$AB$3:$AB$302,"=Videolaringoscópio",'Casuística'!$AD$3:$AD$302,"=Sucesso")</f>
        <v/>
      </c>
      <c r="E7" s="24">
        <f>COUNTIFS('Casuística'!$Z$3:$Z$302,"=Intubação Orotraqueal",'Casuística'!$AB$3:$AB$302,"=Videolaringoscópio",'Casuística'!$AD$3:$AD$302,"=Insucesso")</f>
        <v/>
      </c>
      <c r="F7" s="24">
        <f>COUNTIFS('Casuística'!$Z$3:$Z$302,"=Intubação Orotraqueal",'Casuística'!$AB$3:$AB$302,"=Videolaringoscópio",'Casuística'!$AD$3:$AD$302,"=Observado")</f>
        <v/>
      </c>
      <c r="G7" s="18">
        <f>COUNTIFS('Casuística'!$Z$3:$Z$302,"=Intubação Orotraqueal",'Casuística'!$AB$3:$AB$302,"=Videolaringoscópio")</f>
        <v/>
      </c>
    </row>
    <row r="8">
      <c r="A8" s="71" t="n"/>
      <c r="B8" s="72" t="n"/>
      <c r="C8" s="51" t="inlineStr">
        <is>
          <t>Condutor</t>
        </is>
      </c>
      <c r="D8" s="24">
        <f>COUNTIFS('Casuística'!$Z$3:$Z$302,"=Intubação Orotraqueal",'Casuística'!$AB$3:$AB$302,"=Videolaringoscópio + Condutor",'Casuística'!$AD$3:$AD$302,"=Sucesso")</f>
        <v/>
      </c>
      <c r="E8" s="24">
        <f>COUNTIFS('Casuística'!$Z$3:$Z$302,"=Intubação Orotraqueal",'Casuística'!$AB$3:$AB$302,"=Videolaringoscópio + Condutor",'Casuística'!$AD$3:$AD$302,"=Insucesso")</f>
        <v/>
      </c>
      <c r="F8" s="24">
        <f>COUNTIFS('Casuística'!$Z$3:$Z$302,"=Intubação Orotraqueal",'Casuística'!$AB$3:$AB$302,"=Videolaringoscópio + Condutor",'Casuística'!$AD$3:$AD$302,"=Observado")</f>
        <v/>
      </c>
      <c r="G8" s="18">
        <f>COUNTIFS('Casuística'!$Z$3:$Z$302,"=Intubação Orotraqueal",'Casuística'!$AB$3:$AB$302,"=Videolaringoscópio + Condutor")</f>
        <v/>
      </c>
    </row>
    <row r="9" ht="15" customHeight="1" s="65">
      <c r="A9" s="71" t="n"/>
      <c r="B9" s="51" t="inlineStr">
        <is>
          <t>Fibroscopia</t>
        </is>
      </c>
      <c r="C9" s="66" t="n"/>
      <c r="D9" s="24">
        <f>COUNTIFS('Casuística'!$Z$3:$Z$302,"=Intubação Orotraqueal",'Casuística'!$AA$3:$AA$302,"=Fibroscopia*",'Casuística'!$AD$3:$AD$302,"=Sucesso")</f>
        <v/>
      </c>
      <c r="E9" s="24">
        <f>COUNTIFS('Casuística'!$Z$3:$Z$302,"=Intubação Orotraqueal",'Casuística'!$AA$3:$AA$302,"=Fibroscopia*",'Casuística'!$AD$3:$AD$302,"=Insucesso")</f>
        <v/>
      </c>
      <c r="F9" s="24">
        <f>COUNTIFS('Casuística'!$Z$3:$Z$302,"=Intubação Orotraqueal",'Casuística'!$AA$3:$AA$302,"=Fibroscopia*",'Casuística'!$AD$3:$AD$302,"=Observado")</f>
        <v/>
      </c>
      <c r="G9" s="18">
        <f>COUNTIFS('Casuística'!$Z$3:$Z$302,"=Intubação Orotraqueal",'Casuística'!$AA$3:$AA$302,"=Fibroscopia*")</f>
        <v/>
      </c>
    </row>
    <row r="10" ht="15" customHeight="1" s="65">
      <c r="A10" s="72" t="n"/>
      <c r="B10" s="51" t="inlineStr">
        <is>
          <t>Técnica não registada</t>
        </is>
      </c>
      <c r="C10" s="66" t="n"/>
      <c r="D10" s="24">
        <f>COUNTIFS('Casuística'!$Z$3:$Z$302,"=Intubação Orotraqueal",'Casuística'!$AA$3:$AA$302,"",'Casuística'!$AD$3:$AD$302,"=Sucesso")</f>
        <v/>
      </c>
      <c r="E10" s="24">
        <f>COUNTIFS('Casuística'!$Z$3:$Z$302,"=Intubação Orotraqueal",'Casuística'!$AA$3:$AA$302,"",'Casuística'!$AD$3:$AD$302,"=Insucesso")</f>
        <v/>
      </c>
      <c r="F10" s="24">
        <f>COUNTIFS('Casuística'!$Z$3:$Z$302,"=Intubação Orotraqueal",'Casuística'!$AA$3:$AA$302,"",'Casuística'!$AD$3:$AD$302,"=Observado")</f>
        <v/>
      </c>
      <c r="G10" s="18">
        <f>COUNTIFS('Casuística'!$Z$3:$Z$302,"=Intubação Orotraqueal",'Casuística'!$AA$3:$AA$302,"")</f>
        <v/>
      </c>
    </row>
    <row r="11" ht="15" customHeight="1" s="65">
      <c r="A11" s="47" t="inlineStr">
        <is>
          <t>INTUBAÇÃO NASOTRAQUEAL</t>
        </is>
      </c>
      <c r="B11" s="51" t="inlineStr">
        <is>
          <t>Laringoscopia direta</t>
        </is>
      </c>
      <c r="C11" s="66" t="n"/>
      <c r="D11" s="24">
        <f>COUNTIFS('Casuística'!$Z$3:$Z$302,"=Intubação Nasotraqueal",'Casuística'!$AA$3:$AA$302,"=Laringoscopia direta",'Casuística'!$AD$3:$AD$302,"=Sucesso")</f>
        <v/>
      </c>
      <c r="E11" s="24">
        <f>COUNTIFS('Casuística'!$Z$3:$Z$302,"=Intubação Nasotraqueal",'Casuística'!$AA$3:$AA$302,"=Laringoscopia direta",'Casuística'!$AD$3:$AD$302,"=Insucesso")</f>
        <v/>
      </c>
      <c r="F11" s="24">
        <f>COUNTIFS('Casuística'!$Z$3:$Z$302,"=Intubação Nasotraqueal",'Casuística'!$AA$3:$AA$302,"=Laringoscopia direta",'Casuística'!$AD$3:$AD$302,"=Observado")</f>
        <v/>
      </c>
      <c r="G11" s="18">
        <f>COUNTIFS('Casuística'!$Z$3:$Z$302,"=Intubação Nasotraqueal",'Casuística'!$AA$3:$AA$302,"=Laringoscopia direta")</f>
        <v/>
      </c>
    </row>
    <row r="12" ht="15" customHeight="1" s="65">
      <c r="A12" s="71" t="n"/>
      <c r="B12" s="51" t="inlineStr">
        <is>
          <t>Videolaringoscopia</t>
        </is>
      </c>
      <c r="C12" s="66" t="n"/>
      <c r="D12" s="24">
        <f>COUNTIFS('Casuística'!$Z$3:$Z$302,"=Intubação Nasotraqueal",'Casuística'!$AA$3:$AA$302,"=Videolaringoscopia",'Casuística'!$AD$3:$AD$302,"=Sucesso")</f>
        <v/>
      </c>
      <c r="E12" s="24">
        <f>COUNTIFS('Casuística'!$Z$3:$Z$302,"=Intubação Nasotraqueal",'Casuística'!$AA$3:$AA$302,"=Videolaringoscopia",'Casuística'!$AD$3:$AD$302,"=Insucesso")</f>
        <v/>
      </c>
      <c r="F12" s="24">
        <f>COUNTIFS('Casuística'!$Z$3:$Z$302,"=Intubação Nasotraqueal",'Casuística'!$AA$3:$AA$302,"=Videolaringoscopia",'Casuística'!$AD$3:$AD$302,"=Observado")</f>
        <v/>
      </c>
      <c r="G12" s="18">
        <f>COUNTIFS('Casuística'!$Z$3:$Z$302,"=Intubação Nasotraqueal",'Casuística'!$AA$3:$AA$302,"=Videolaringoscopia")</f>
        <v/>
      </c>
    </row>
    <row r="13" ht="15" customHeight="1" s="65">
      <c r="A13" s="72" t="n"/>
      <c r="B13" s="51" t="inlineStr">
        <is>
          <t>Fibroscopia</t>
        </is>
      </c>
      <c r="C13" s="66" t="n"/>
      <c r="D13" s="24">
        <f>COUNTIFS('Casuística'!$Z$3:$Z$302,"=Intubação Nasotraqueal",'Casuística'!$AA$3:$AA$302,"=Fibroscopia*",'Casuística'!$AD$3:$AD$302,"=Sucesso")</f>
        <v/>
      </c>
      <c r="E13" s="24">
        <f>COUNTIFS('Casuística'!$Z$3:$Z$302,"=Intubação Nasotraqueal",'Casuística'!$AA$3:$AA$302,"=Fibroscopia*",'Casuística'!$AD$3:$AD$302,"=Insucesso")</f>
        <v/>
      </c>
      <c r="F13" s="24">
        <f>COUNTIFS('Casuística'!$Z$3:$Z$302,"=Intubação Nasotraqueal",'Casuística'!$AA$3:$AA$302,"=Fibroscopia*",'Casuística'!$AD$3:$AD$302,"=Observado")</f>
        <v/>
      </c>
      <c r="G13" s="18">
        <f>COUNTIFS('Casuística'!$Z$3:$Z$302,"=Intubação Nasotraqueal",'Casuística'!$AA$3:$AA$302,"=Fibroscopia*")</f>
        <v/>
      </c>
    </row>
    <row r="14" ht="15" customHeight="1" s="65">
      <c r="A14" s="69" t="inlineStr">
        <is>
          <t>TOTAL</t>
        </is>
      </c>
      <c r="B14" s="67" t="n"/>
      <c r="C14" s="66" t="n"/>
      <c r="D14" s="31">
        <f>SUM(D2:D13)</f>
        <v/>
      </c>
      <c r="E14" s="31">
        <f>SUM(E2:E13)</f>
        <v/>
      </c>
      <c r="F14" s="31">
        <f>SUM(F2:F13)</f>
        <v/>
      </c>
      <c r="G14" s="31">
        <f>SUM(G2:G13)</f>
        <v/>
      </c>
    </row>
    <row r="16" ht="15" customHeight="1" s="65">
      <c r="A16" s="68" t="inlineStr">
        <is>
          <t>Via aérea difícil (Cormack-Lehane 3-4)</t>
        </is>
      </c>
      <c r="B16" s="67" t="n"/>
      <c r="C16" s="66" t="n"/>
      <c r="G16" s="18">
        <f>COUNTIFS('Casuística'!$AC$3:$AC$302,"=Difícil (CL 3-4)")</f>
        <v/>
      </c>
    </row>
    <row r="17" ht="15" customHeight="1" s="65">
      <c r="A17" s="68" t="inlineStr">
        <is>
          <t>Ventilação espontânea (sem dispositivo)</t>
        </is>
      </c>
      <c r="B17" s="67" t="n"/>
      <c r="C17" s="66" t="n"/>
      <c r="G17" s="18">
        <f>COUNTIFS('Casuística'!$Z$3:$Z$302,"=Ventilação Espontânea")</f>
        <v/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15">
    <mergeCell ref="B13:C13"/>
    <mergeCell ref="B6:C6"/>
    <mergeCell ref="B2:C2"/>
    <mergeCell ref="A1:C1"/>
    <mergeCell ref="B11:C11"/>
    <mergeCell ref="A14:C14"/>
    <mergeCell ref="A3:A10"/>
    <mergeCell ref="B10:C10"/>
    <mergeCell ref="A17:C17"/>
    <mergeCell ref="A11:A13"/>
    <mergeCell ref="B7:B8"/>
    <mergeCell ref="B3:B5"/>
    <mergeCell ref="B9:C9"/>
    <mergeCell ref="A16:C16"/>
    <mergeCell ref="B12:C1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76A5AF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ColWidth="14.43" defaultRowHeight="15" customHeight="1" outlineLevelCol="0"/>
  <cols>
    <col width="18" customWidth="1" style="65" min="1" max="1"/>
    <col width="36" customWidth="1" style="65" min="2" max="2"/>
    <col width="12" customWidth="1" style="65" min="3" max="4"/>
    <col width="10" customWidth="1" style="65" min="5" max="7"/>
    <col width="8" customWidth="1" style="65" min="8" max="8"/>
    <col width="8.710000000000001" customWidth="1" style="65" min="9" max="26"/>
  </cols>
  <sheetData>
    <row r="1" ht="30" customHeight="1" s="65">
      <c r="A1" s="4" t="inlineStr">
        <is>
          <t>Técnicas de anestesia regional</t>
        </is>
      </c>
      <c r="B1" s="66" t="n"/>
      <c r="C1" s="4" t="inlineStr">
        <is>
          <t>Finalidade Analgésica</t>
        </is>
      </c>
      <c r="D1" s="4" t="inlineStr">
        <is>
          <t>Finalidade Anestésica</t>
        </is>
      </c>
      <c r="E1" s="4" t="inlineStr">
        <is>
          <t>Sucesso</t>
        </is>
      </c>
      <c r="F1" s="4" t="inlineStr">
        <is>
          <t>Insucesso</t>
        </is>
      </c>
      <c r="G1" s="4" t="inlineStr">
        <is>
          <t>Observado</t>
        </is>
      </c>
      <c r="H1" s="4" t="inlineStr">
        <is>
          <t>TOTAL</t>
        </is>
      </c>
    </row>
    <row r="2" ht="15" customHeight="1" s="65">
      <c r="A2" s="55" t="inlineStr">
        <is>
          <t>NERVOS PERIFÉRICOS</t>
        </is>
      </c>
      <c r="B2" s="67" t="n"/>
      <c r="C2" s="67" t="n"/>
      <c r="D2" s="67" t="n"/>
      <c r="E2" s="67" t="n"/>
      <c r="F2" s="67" t="n"/>
      <c r="G2" s="66" t="n"/>
      <c r="H2" s="53">
        <f>SUM(H3:H15)</f>
        <v/>
      </c>
    </row>
    <row r="3" ht="15" customHeight="1" s="65">
      <c r="A3" s="47" t="inlineStr">
        <is>
          <t>TÓRAX E ABDÓMEN</t>
        </is>
      </c>
      <c r="B3" s="54" t="inlineStr">
        <is>
          <t>Plano do Transverso do Abdómen (TAP)</t>
        </is>
      </c>
      <c r="C3" s="24">
        <f>COUNTIFS('Casuística'!$T$3:$T$302,"=Plano do Transverso do Abdómen (TAP)",'Casuística'!$W$3:$W$302,"=Analgésico")+COUNTIFS('Casuística'!$U$3:$U$302,"=Plano do Transverso do Abdómen (TAP)",'Casuística'!$W$3:$W$302,"=Analgésico")</f>
        <v/>
      </c>
      <c r="D3" s="24">
        <f>COUNTIFS('Casuística'!$T$3:$T$302,"=Plano do Transverso do Abdómen (TAP)",'Casuística'!$W$3:$W$302,"=Anestésico")+COUNTIFS('Casuística'!$U$3:$U$302,"=Plano do Transverso do Abdómen (TAP)",'Casuística'!$W$3:$W$302,"=Anestésico")</f>
        <v/>
      </c>
      <c r="E3" s="24">
        <f>COUNTIFS('Casuística'!$T$3:$T$302,"=Plano do Transverso do Abdómen (TAP)",'Casuística'!$X$3:$X$302,"=Sucesso")+COUNTIFS('Casuística'!$U$3:$U$302,"=Plano do Transverso do Abdómen (TAP)",'Casuística'!$X$3:$X$302,"=Sucesso")</f>
        <v/>
      </c>
      <c r="F3" s="24">
        <f>COUNTIFS('Casuística'!$T$3:$T$302,"=Plano do Transverso do Abdómen (TAP)",'Casuística'!$X$3:$X$302,"=Insucesso")+COUNTIFS('Casuística'!$U$3:$U$302,"=Plano do Transverso do Abdómen (TAP)",'Casuística'!$X$3:$X$302,"=Insucesso")</f>
        <v/>
      </c>
      <c r="G3" s="24">
        <f>COUNTIFS('Casuística'!$T$3:$T$302,"=Plano do Transverso do Abdómen (TAP)",'Casuística'!$X$3:$X$302,"=Observado")+COUNTIFS('Casuística'!$U$3:$U$302,"=Plano do Transverso do Abdómen (TAP)",'Casuística'!$X$3:$X$302,"=Observado")</f>
        <v/>
      </c>
      <c r="H3" s="18">
        <f>COUNTIFS('Casuística'!$T$3:$T$302,"=Plano do Transverso do Abdómen (TAP)")+COUNTIFS('Casuística'!$U$3:$U$302,"=Plano do Transverso do Abdómen (TAP)")</f>
        <v/>
      </c>
    </row>
    <row r="4">
      <c r="A4" s="71" t="n"/>
      <c r="B4" s="54" t="inlineStr">
        <is>
          <t>Bainha dos Retos</t>
        </is>
      </c>
      <c r="C4" s="24">
        <f>COUNTIFS('Casuística'!$T$3:$T$302,"=Bainha dos Retos",'Casuística'!$W$3:$W$302,"=Analgésico")+COUNTIFS('Casuística'!$U$3:$U$302,"=Bainha dos Retos",'Casuística'!$W$3:$W$302,"=Analgésico")</f>
        <v/>
      </c>
      <c r="D4" s="24">
        <f>COUNTIFS('Casuística'!$T$3:$T$302,"=Bainha dos Retos",'Casuística'!$W$3:$W$302,"=Anestésico")+COUNTIFS('Casuística'!$U$3:$U$302,"=Bainha dos Retos",'Casuística'!$W$3:$W$302,"=Anestésico")</f>
        <v/>
      </c>
      <c r="E4" s="24">
        <f>COUNTIFS('Casuística'!$T$3:$T$302,"=Bainha dos Retos",'Casuística'!$X$3:$X$302,"=Sucesso")+COUNTIFS('Casuística'!$U$3:$U$302,"=Bainha dos Retos",'Casuística'!$X$3:$X$302,"=Sucesso")</f>
        <v/>
      </c>
      <c r="F4" s="24">
        <f>COUNTIFS('Casuística'!$T$3:$T$302,"=Bainha dos Retos",'Casuística'!$X$3:$X$302,"=Insucesso")+COUNTIFS('Casuística'!$U$3:$U$302,"=Bainha dos Retos",'Casuística'!$X$3:$X$302,"=Insucesso")</f>
        <v/>
      </c>
      <c r="G4" s="24">
        <f>COUNTIFS('Casuística'!$T$3:$T$302,"=Bainha dos Retos",'Casuística'!$X$3:$X$302,"=Observado")+COUNTIFS('Casuística'!$U$3:$U$302,"=Bainha dos Retos",'Casuística'!$X$3:$X$302,"=Observado")</f>
        <v/>
      </c>
      <c r="H4" s="18">
        <f>COUNTIFS('Casuística'!$T$3:$T$302,"=Bainha dos Retos")+COUNTIFS('Casuística'!$U$3:$U$302,"=Bainha dos Retos")</f>
        <v/>
      </c>
    </row>
    <row r="5">
      <c r="A5" s="71" t="n"/>
      <c r="B5" s="54" t="inlineStr">
        <is>
          <t>Eretor da Espinha</t>
        </is>
      </c>
      <c r="C5" s="24">
        <f>COUNTIFS('Casuística'!$T$3:$T$302,"=Eretor da Espinha",'Casuística'!$W$3:$W$302,"=Analgésico")+COUNTIFS('Casuística'!$U$3:$U$302,"=Eretor da Espinha",'Casuística'!$W$3:$W$302,"=Analgésico")</f>
        <v/>
      </c>
      <c r="D5" s="24">
        <f>COUNTIFS('Casuística'!$T$3:$T$302,"=Eretor da Espinha",'Casuística'!$W$3:$W$302,"=Anestésico")+COUNTIFS('Casuística'!$U$3:$U$302,"=Eretor da Espinha",'Casuística'!$W$3:$W$302,"=Anestésico")</f>
        <v/>
      </c>
      <c r="E5" s="24">
        <f>COUNTIFS('Casuística'!$T$3:$T$302,"=Eretor da Espinha",'Casuística'!$X$3:$X$302,"=Sucesso")+COUNTIFS('Casuística'!$U$3:$U$302,"=Eretor da Espinha",'Casuística'!$X$3:$X$302,"=Sucesso")</f>
        <v/>
      </c>
      <c r="F5" s="24">
        <f>COUNTIFS('Casuística'!$T$3:$T$302,"=Eretor da Espinha",'Casuística'!$X$3:$X$302,"=Insucesso")+COUNTIFS('Casuística'!$U$3:$U$302,"=Eretor da Espinha",'Casuística'!$X$3:$X$302,"=Insucesso")</f>
        <v/>
      </c>
      <c r="G5" s="24">
        <f>COUNTIFS('Casuística'!$T$3:$T$302,"=Eretor da Espinha",'Casuística'!$X$3:$X$302,"=Observado")+COUNTIFS('Casuística'!$U$3:$U$302,"=Eretor da Espinha",'Casuística'!$X$3:$X$302,"=Observado")</f>
        <v/>
      </c>
      <c r="H5" s="18">
        <f>COUNTIFS('Casuística'!$T$3:$T$302,"=Eretor da Espinha")+COUNTIFS('Casuística'!$U$3:$U$302,"=Eretor da Espinha")</f>
        <v/>
      </c>
    </row>
    <row r="6">
      <c r="A6" s="71" t="n"/>
      <c r="B6" s="54" t="inlineStr">
        <is>
          <t>Plano Serratus Anterior</t>
        </is>
      </c>
      <c r="C6" s="24">
        <f>COUNTIFS('Casuística'!$T$3:$T$302,"=Plano Serratus Anterior",'Casuística'!$W$3:$W$302,"=Analgésico")+COUNTIFS('Casuística'!$U$3:$U$302,"=Plano Serratus Anterior",'Casuística'!$W$3:$W$302,"=Analgésico")</f>
        <v/>
      </c>
      <c r="D6" s="24">
        <f>COUNTIFS('Casuística'!$T$3:$T$302,"=Plano Serratus Anterior",'Casuística'!$W$3:$W$302,"=Anestésico")+COUNTIFS('Casuística'!$U$3:$U$302,"=Plano Serratus Anterior",'Casuística'!$W$3:$W$302,"=Anestésico")</f>
        <v/>
      </c>
      <c r="E6" s="24">
        <f>COUNTIFS('Casuística'!$T$3:$T$302,"=Plano Serratus Anterior",'Casuística'!$X$3:$X$302,"=Sucesso")+COUNTIFS('Casuística'!$U$3:$U$302,"=Plano Serratus Anterior",'Casuística'!$X$3:$X$302,"=Sucesso")</f>
        <v/>
      </c>
      <c r="F6" s="24">
        <f>COUNTIFS('Casuística'!$T$3:$T$302,"=Plano Serratus Anterior",'Casuística'!$X$3:$X$302,"=Insucesso")+COUNTIFS('Casuística'!$U$3:$U$302,"=Plano Serratus Anterior",'Casuística'!$X$3:$X$302,"=Insucesso")</f>
        <v/>
      </c>
      <c r="G6" s="24">
        <f>COUNTIFS('Casuística'!$T$3:$T$302,"=Plano Serratus Anterior",'Casuística'!$X$3:$X$302,"=Observado")+COUNTIFS('Casuística'!$U$3:$U$302,"=Plano Serratus Anterior",'Casuística'!$X$3:$X$302,"=Observado")</f>
        <v/>
      </c>
      <c r="H6" s="18">
        <f>COUNTIFS('Casuística'!$T$3:$T$302,"=Plano Serratus Anterior")+COUNTIFS('Casuística'!$U$3:$U$302,"=Plano Serratus Anterior")</f>
        <v/>
      </c>
    </row>
    <row r="7">
      <c r="A7" s="72" t="n"/>
      <c r="B7" s="54" t="inlineStr">
        <is>
          <t>Paravertebral</t>
        </is>
      </c>
      <c r="C7" s="24">
        <f>COUNTIFS('Casuística'!$T$3:$T$302,"=Paravertebral",'Casuística'!$W$3:$W$302,"=Analgésico")+COUNTIFS('Casuística'!$U$3:$U$302,"=Paravertebral",'Casuística'!$W$3:$W$302,"=Analgésico")</f>
        <v/>
      </c>
      <c r="D7" s="24">
        <f>COUNTIFS('Casuística'!$T$3:$T$302,"=Paravertebral",'Casuística'!$W$3:$W$302,"=Anestésico")+COUNTIFS('Casuística'!$U$3:$U$302,"=Paravertebral",'Casuística'!$W$3:$W$302,"=Anestésico")</f>
        <v/>
      </c>
      <c r="E7" s="24">
        <f>COUNTIFS('Casuística'!$T$3:$T$302,"=Paravertebral",'Casuística'!$X$3:$X$302,"=Sucesso")+COUNTIFS('Casuística'!$U$3:$U$302,"=Paravertebral",'Casuística'!$X$3:$X$302,"=Sucesso")</f>
        <v/>
      </c>
      <c r="F7" s="24">
        <f>COUNTIFS('Casuística'!$T$3:$T$302,"=Paravertebral",'Casuística'!$X$3:$X$302,"=Insucesso")+COUNTIFS('Casuística'!$U$3:$U$302,"=Paravertebral",'Casuística'!$X$3:$X$302,"=Insucesso")</f>
        <v/>
      </c>
      <c r="G7" s="24">
        <f>COUNTIFS('Casuística'!$T$3:$T$302,"=Paravertebral",'Casuística'!$X$3:$X$302,"=Observado")+COUNTIFS('Casuística'!$U$3:$U$302,"=Paravertebral",'Casuística'!$X$3:$X$302,"=Observado")</f>
        <v/>
      </c>
      <c r="H7" s="18">
        <f>COUNTIFS('Casuística'!$T$3:$T$302,"=Paravertebral")+COUNTIFS('Casuística'!$U$3:$U$302,"=Paravertebral")</f>
        <v/>
      </c>
    </row>
    <row r="8" ht="15" customHeight="1" s="65">
      <c r="A8" s="47" t="inlineStr">
        <is>
          <t>MEMBRO SUPERIOR</t>
        </is>
      </c>
      <c r="B8" s="54" t="inlineStr">
        <is>
          <t>Plexo braquial - Interescalénico</t>
        </is>
      </c>
      <c r="C8" s="24">
        <f>COUNTIFS('Casuística'!$T$3:$T$302,"=Plexo braquial - Interescalénico",'Casuística'!$W$3:$W$302,"=Analgésico")+COUNTIFS('Casuística'!$U$3:$U$302,"=Plexo braquial - Interescalénico",'Casuística'!$W$3:$W$302,"=Analgésico")</f>
        <v/>
      </c>
      <c r="D8" s="24">
        <f>COUNTIFS('Casuística'!$T$3:$T$302,"=Plexo braquial - Interescalénico",'Casuística'!$W$3:$W$302,"=Anestésico")+COUNTIFS('Casuística'!$U$3:$U$302,"=Plexo braquial - Interescalénico",'Casuística'!$W$3:$W$302,"=Anestésico")</f>
        <v/>
      </c>
      <c r="E8" s="24">
        <f>COUNTIFS('Casuística'!$T$3:$T$302,"=Plexo braquial - Interescalénico",'Casuística'!$X$3:$X$302,"=Sucesso")+COUNTIFS('Casuística'!$U$3:$U$302,"=Plexo braquial - Interescalénico",'Casuística'!$X$3:$X$302,"=Sucesso")</f>
        <v/>
      </c>
      <c r="F8" s="24">
        <f>COUNTIFS('Casuística'!$T$3:$T$302,"=Plexo braquial - Interescalénico",'Casuística'!$X$3:$X$302,"=Insucesso")+COUNTIFS('Casuística'!$U$3:$U$302,"=Plexo braquial - Interescalénico",'Casuística'!$X$3:$X$302,"=Insucesso")</f>
        <v/>
      </c>
      <c r="G8" s="24">
        <f>COUNTIFS('Casuística'!$T$3:$T$302,"=Plexo braquial - Interescalénico",'Casuística'!$X$3:$X$302,"=Observado")+COUNTIFS('Casuística'!$U$3:$U$302,"=Plexo braquial - Interescalénico",'Casuística'!$X$3:$X$302,"=Observado")</f>
        <v/>
      </c>
      <c r="H8" s="18">
        <f>COUNTIFS('Casuística'!$T$3:$T$302,"=Plexo braquial - Interescalénico")+COUNTIFS('Casuística'!$U$3:$U$302,"=Plexo braquial - Interescalénico")</f>
        <v/>
      </c>
    </row>
    <row r="9">
      <c r="A9" s="71" t="n"/>
      <c r="B9" s="54" t="inlineStr">
        <is>
          <t>Plexo braquial - Supraclavicular</t>
        </is>
      </c>
      <c r="C9" s="24">
        <f>COUNTIFS('Casuística'!$T$3:$T$302,"=Plexo braquial - Supraclavicular",'Casuística'!$W$3:$W$302,"=Analgésico")+COUNTIFS('Casuística'!$U$3:$U$302,"=Plexo braquial - Supraclavicular",'Casuística'!$W$3:$W$302,"=Analgésico")</f>
        <v/>
      </c>
      <c r="D9" s="24">
        <f>COUNTIFS('Casuística'!$T$3:$T$302,"=Plexo braquial - Supraclavicular",'Casuística'!$W$3:$W$302,"=Anestésico")+COUNTIFS('Casuística'!$U$3:$U$302,"=Plexo braquial - Supraclavicular",'Casuística'!$W$3:$W$302,"=Anestésico")</f>
        <v/>
      </c>
      <c r="E9" s="24">
        <f>COUNTIFS('Casuística'!$T$3:$T$302,"=Plexo braquial - Supraclavicular",'Casuística'!$X$3:$X$302,"=Sucesso")+COUNTIFS('Casuística'!$U$3:$U$302,"=Plexo braquial - Supraclavicular",'Casuística'!$X$3:$X$302,"=Sucesso")</f>
        <v/>
      </c>
      <c r="F9" s="24">
        <f>COUNTIFS('Casuística'!$T$3:$T$302,"=Plexo braquial - Supraclavicular",'Casuística'!$X$3:$X$302,"=Insucesso")+COUNTIFS('Casuística'!$U$3:$U$302,"=Plexo braquial - Supraclavicular",'Casuística'!$X$3:$X$302,"=Insucesso")</f>
        <v/>
      </c>
      <c r="G9" s="24">
        <f>COUNTIFS('Casuística'!$T$3:$T$302,"=Plexo braquial - Supraclavicular",'Casuística'!$X$3:$X$302,"=Observado")+COUNTIFS('Casuística'!$U$3:$U$302,"=Plexo braquial - Supraclavicular",'Casuística'!$X$3:$X$302,"=Observado")</f>
        <v/>
      </c>
      <c r="H9" s="18">
        <f>COUNTIFS('Casuística'!$T$3:$T$302,"=Plexo braquial - Supraclavicular")+COUNTIFS('Casuística'!$U$3:$U$302,"=Plexo braquial - Supraclavicular")</f>
        <v/>
      </c>
    </row>
    <row r="10">
      <c r="A10" s="71" t="n"/>
      <c r="B10" s="54" t="inlineStr">
        <is>
          <t>Plexo braquial - Infraclavicular</t>
        </is>
      </c>
      <c r="C10" s="24">
        <f>COUNTIFS('Casuística'!$T$3:$T$302,"=Plexo braquial - Infraclavicular",'Casuística'!$W$3:$W$302,"=Analgésico")+COUNTIFS('Casuística'!$U$3:$U$302,"=Plexo braquial - Infraclavicular",'Casuística'!$W$3:$W$302,"=Analgésico")</f>
        <v/>
      </c>
      <c r="D10" s="24">
        <f>COUNTIFS('Casuística'!$T$3:$T$302,"=Plexo braquial - Infraclavicular",'Casuística'!$W$3:$W$302,"=Anestésico")+COUNTIFS('Casuística'!$U$3:$U$302,"=Plexo braquial - Infraclavicular",'Casuística'!$W$3:$W$302,"=Anestésico")</f>
        <v/>
      </c>
      <c r="E10" s="24">
        <f>COUNTIFS('Casuística'!$T$3:$T$302,"=Plexo braquial - Infraclavicular",'Casuística'!$X$3:$X$302,"=Sucesso")+COUNTIFS('Casuística'!$U$3:$U$302,"=Plexo braquial - Infraclavicular",'Casuística'!$X$3:$X$302,"=Sucesso")</f>
        <v/>
      </c>
      <c r="F10" s="24">
        <f>COUNTIFS('Casuística'!$T$3:$T$302,"=Plexo braquial - Infraclavicular",'Casuística'!$X$3:$X$302,"=Insucesso")+COUNTIFS('Casuística'!$U$3:$U$302,"=Plexo braquial - Infraclavicular",'Casuística'!$X$3:$X$302,"=Insucesso")</f>
        <v/>
      </c>
      <c r="G10" s="24">
        <f>COUNTIFS('Casuística'!$T$3:$T$302,"=Plexo braquial - Infraclavicular",'Casuística'!$X$3:$X$302,"=Observado")+COUNTIFS('Casuística'!$U$3:$U$302,"=Plexo braquial - Infraclavicular",'Casuística'!$X$3:$X$302,"=Observado")</f>
        <v/>
      </c>
      <c r="H10" s="18">
        <f>COUNTIFS('Casuística'!$T$3:$T$302,"=Plexo braquial - Infraclavicular")+COUNTIFS('Casuística'!$U$3:$U$302,"=Plexo braquial - Infraclavicular")</f>
        <v/>
      </c>
    </row>
    <row r="11">
      <c r="A11" s="72" t="n"/>
      <c r="B11" s="54" t="inlineStr">
        <is>
          <t>Plexo braquial - Axilar</t>
        </is>
      </c>
      <c r="C11" s="24">
        <f>COUNTIFS('Casuística'!$T$3:$T$302,"=Plexo braquial - Axilar",'Casuística'!$W$3:$W$302,"=Analgésico")+COUNTIFS('Casuística'!$U$3:$U$302,"=Plexo braquial - Axilar",'Casuística'!$W$3:$W$302,"=Analgésico")</f>
        <v/>
      </c>
      <c r="D11" s="24">
        <f>COUNTIFS('Casuística'!$T$3:$T$302,"=Plexo braquial - Axilar",'Casuística'!$W$3:$W$302,"=Anestésico")+COUNTIFS('Casuística'!$U$3:$U$302,"=Plexo braquial - Axilar",'Casuística'!$W$3:$W$302,"=Anestésico")</f>
        <v/>
      </c>
      <c r="E11" s="24">
        <f>COUNTIFS('Casuística'!$T$3:$T$302,"=Plexo braquial - Axilar",'Casuística'!$X$3:$X$302,"=Sucesso")+COUNTIFS('Casuística'!$U$3:$U$302,"=Plexo braquial - Axilar",'Casuística'!$X$3:$X$302,"=Sucesso")</f>
        <v/>
      </c>
      <c r="F11" s="24">
        <f>COUNTIFS('Casuística'!$T$3:$T$302,"=Plexo braquial - Axilar",'Casuística'!$X$3:$X$302,"=Insucesso")+COUNTIFS('Casuística'!$U$3:$U$302,"=Plexo braquial - Axilar",'Casuística'!$X$3:$X$302,"=Insucesso")</f>
        <v/>
      </c>
      <c r="G11" s="24">
        <f>COUNTIFS('Casuística'!$T$3:$T$302,"=Plexo braquial - Axilar",'Casuística'!$X$3:$X$302,"=Observado")+COUNTIFS('Casuística'!$U$3:$U$302,"=Plexo braquial - Axilar",'Casuística'!$X$3:$X$302,"=Observado")</f>
        <v/>
      </c>
      <c r="H11" s="18">
        <f>COUNTIFS('Casuística'!$T$3:$T$302,"=Plexo braquial - Axilar")+COUNTIFS('Casuística'!$U$3:$U$302,"=Plexo braquial - Axilar")</f>
        <v/>
      </c>
    </row>
    <row r="12" ht="15" customHeight="1" s="65">
      <c r="A12" s="47" t="inlineStr">
        <is>
          <t>MEMBRO INFERIOR</t>
        </is>
      </c>
      <c r="B12" s="54" t="inlineStr">
        <is>
          <t>Fáscia Ilíaca</t>
        </is>
      </c>
      <c r="C12" s="24">
        <f>COUNTIFS('Casuística'!$T$3:$T$302,"=Fáscia Ilíaca",'Casuística'!$W$3:$W$302,"=Analgésico")+COUNTIFS('Casuística'!$U$3:$U$302,"=Fáscia Ilíaca",'Casuística'!$W$3:$W$302,"=Analgésico")</f>
        <v/>
      </c>
      <c r="D12" s="24">
        <f>COUNTIFS('Casuística'!$T$3:$T$302,"=Fáscia Ilíaca",'Casuística'!$W$3:$W$302,"=Anestésico")+COUNTIFS('Casuística'!$U$3:$U$302,"=Fáscia Ilíaca",'Casuística'!$W$3:$W$302,"=Anestésico")</f>
        <v/>
      </c>
      <c r="E12" s="24">
        <f>COUNTIFS('Casuística'!$T$3:$T$302,"=Fáscia Ilíaca",'Casuística'!$X$3:$X$302,"=Sucesso")+COUNTIFS('Casuística'!$U$3:$U$302,"=Fáscia Ilíaca",'Casuística'!$X$3:$X$302,"=Sucesso")</f>
        <v/>
      </c>
      <c r="F12" s="24">
        <f>COUNTIFS('Casuística'!$T$3:$T$302,"=Fáscia Ilíaca",'Casuística'!$X$3:$X$302,"=Insucesso")+COUNTIFS('Casuística'!$U$3:$U$302,"=Fáscia Ilíaca",'Casuística'!$X$3:$X$302,"=Insucesso")</f>
        <v/>
      </c>
      <c r="G12" s="24">
        <f>COUNTIFS('Casuística'!$T$3:$T$302,"=Fáscia Ilíaca",'Casuística'!$X$3:$X$302,"=Observado")+COUNTIFS('Casuística'!$U$3:$U$302,"=Fáscia Ilíaca",'Casuística'!$X$3:$X$302,"=Observado")</f>
        <v/>
      </c>
      <c r="H12" s="18">
        <f>COUNTIFS('Casuística'!$T$3:$T$302,"=Fáscia Ilíaca")+COUNTIFS('Casuística'!$U$3:$U$302,"=Fáscia Ilíaca")</f>
        <v/>
      </c>
    </row>
    <row r="13">
      <c r="A13" s="71" t="n"/>
      <c r="B13" s="54" t="inlineStr">
        <is>
          <t>Femoral</t>
        </is>
      </c>
      <c r="C13" s="24">
        <f>COUNTIFS('Casuística'!$T$3:$T$302,"=Femoral",'Casuística'!$W$3:$W$302,"=Analgésico")+COUNTIFS('Casuística'!$U$3:$U$302,"=Femoral",'Casuística'!$W$3:$W$302,"=Analgésico")</f>
        <v/>
      </c>
      <c r="D13" s="24">
        <f>COUNTIFS('Casuística'!$T$3:$T$302,"=Femoral",'Casuística'!$W$3:$W$302,"=Anestésico")+COUNTIFS('Casuística'!$U$3:$U$302,"=Femoral",'Casuística'!$W$3:$W$302,"=Anestésico")</f>
        <v/>
      </c>
      <c r="E13" s="24">
        <f>COUNTIFS('Casuística'!$T$3:$T$302,"=Femoral",'Casuística'!$X$3:$X$302,"=Sucesso")+COUNTIFS('Casuística'!$U$3:$U$302,"=Femoral",'Casuística'!$X$3:$X$302,"=Sucesso")</f>
        <v/>
      </c>
      <c r="F13" s="24">
        <f>COUNTIFS('Casuística'!$T$3:$T$302,"=Femoral",'Casuística'!$X$3:$X$302,"=Insucesso")+COUNTIFS('Casuística'!$U$3:$U$302,"=Femoral",'Casuística'!$X$3:$X$302,"=Insucesso")</f>
        <v/>
      </c>
      <c r="G13" s="24">
        <f>COUNTIFS('Casuística'!$T$3:$T$302,"=Femoral",'Casuística'!$X$3:$X$302,"=Observado")+COUNTIFS('Casuística'!$U$3:$U$302,"=Femoral",'Casuística'!$X$3:$X$302,"=Observado")</f>
        <v/>
      </c>
      <c r="H13" s="18">
        <f>COUNTIFS('Casuística'!$T$3:$T$302,"=Femoral")+COUNTIFS('Casuística'!$U$3:$U$302,"=Femoral")</f>
        <v/>
      </c>
    </row>
    <row r="14">
      <c r="A14" s="71" t="n"/>
      <c r="B14" s="54" t="inlineStr">
        <is>
          <t>Ciático Poplíteu</t>
        </is>
      </c>
      <c r="C14" s="24">
        <f>COUNTIFS('Casuística'!$T$3:$T$302,"=Ciático Poplíteu",'Casuística'!$W$3:$W$302,"=Analgésico")+COUNTIFS('Casuística'!$U$3:$U$302,"=Ciático Poplíteu",'Casuística'!$W$3:$W$302,"=Analgésico")</f>
        <v/>
      </c>
      <c r="D14" s="24">
        <f>COUNTIFS('Casuística'!$T$3:$T$302,"=Ciático Poplíteu",'Casuística'!$W$3:$W$302,"=Anestésico")+COUNTIFS('Casuística'!$U$3:$U$302,"=Ciático Poplíteu",'Casuística'!$W$3:$W$302,"=Anestésico")</f>
        <v/>
      </c>
      <c r="E14" s="24">
        <f>COUNTIFS('Casuística'!$T$3:$T$302,"=Ciático Poplíteu",'Casuística'!$X$3:$X$302,"=Sucesso")+COUNTIFS('Casuística'!$U$3:$U$302,"=Ciático Poplíteu",'Casuística'!$X$3:$X$302,"=Sucesso")</f>
        <v/>
      </c>
      <c r="F14" s="24">
        <f>COUNTIFS('Casuística'!$T$3:$T$302,"=Ciático Poplíteu",'Casuística'!$X$3:$X$302,"=Insucesso")+COUNTIFS('Casuística'!$U$3:$U$302,"=Ciático Poplíteu",'Casuística'!$X$3:$X$302,"=Insucesso")</f>
        <v/>
      </c>
      <c r="G14" s="24">
        <f>COUNTIFS('Casuística'!$T$3:$T$302,"=Ciático Poplíteu",'Casuística'!$X$3:$X$302,"=Observado")+COUNTIFS('Casuística'!$U$3:$U$302,"=Ciático Poplíteu",'Casuística'!$X$3:$X$302,"=Observado")</f>
        <v/>
      </c>
      <c r="H14" s="18">
        <f>COUNTIFS('Casuística'!$T$3:$T$302,"=Ciático Poplíteu")+COUNTIFS('Casuística'!$U$3:$U$302,"=Ciático Poplíteu")</f>
        <v/>
      </c>
    </row>
    <row r="15">
      <c r="A15" s="72" t="n"/>
      <c r="B15" s="54" t="inlineStr">
        <is>
          <t>Canal dos adutores</t>
        </is>
      </c>
      <c r="C15" s="24">
        <f>COUNTIFS('Casuística'!$T$3:$T$302,"=Canal dos adutores",'Casuística'!$W$3:$W$302,"=Analgésico")+COUNTIFS('Casuística'!$U$3:$U$302,"=Canal dos adutores",'Casuística'!$W$3:$W$302,"=Analgésico")</f>
        <v/>
      </c>
      <c r="D15" s="24">
        <f>COUNTIFS('Casuística'!$T$3:$T$302,"=Canal dos adutores",'Casuística'!$W$3:$W$302,"=Anestésico")+COUNTIFS('Casuística'!$U$3:$U$302,"=Canal dos adutores",'Casuística'!$W$3:$W$302,"=Anestésico")</f>
        <v/>
      </c>
      <c r="E15" s="24">
        <f>COUNTIFS('Casuística'!$T$3:$T$302,"=Canal dos adutores",'Casuística'!$X$3:$X$302,"=Sucesso")+COUNTIFS('Casuística'!$U$3:$U$302,"=Canal dos adutores",'Casuística'!$X$3:$X$302,"=Sucesso")</f>
        <v/>
      </c>
      <c r="F15" s="24">
        <f>COUNTIFS('Casuística'!$T$3:$T$302,"=Canal dos adutores",'Casuística'!$X$3:$X$302,"=Insucesso")+COUNTIFS('Casuística'!$U$3:$U$302,"=Canal dos adutores",'Casuística'!$X$3:$X$302,"=Insucesso")</f>
        <v/>
      </c>
      <c r="G15" s="24">
        <f>COUNTIFS('Casuística'!$T$3:$T$302,"=Canal dos adutores",'Casuística'!$X$3:$X$302,"=Observado")+COUNTIFS('Casuística'!$U$3:$U$302,"=Canal dos adutores",'Casuística'!$X$3:$X$302,"=Observado")</f>
        <v/>
      </c>
      <c r="H15" s="18">
        <f>COUNTIFS('Casuística'!$T$3:$T$302,"=Canal dos adutores")+COUNTIFS('Casuística'!$U$3:$U$302,"=Canal dos adutores")</f>
        <v/>
      </c>
    </row>
    <row r="16" ht="15" customHeight="1" s="65">
      <c r="A16" s="55" t="inlineStr">
        <is>
          <t>NEUROEIXO</t>
        </is>
      </c>
      <c r="B16" s="67" t="n"/>
      <c r="C16" s="67" t="n"/>
      <c r="D16" s="67" t="n"/>
      <c r="E16" s="67" t="n"/>
      <c r="F16" s="67" t="n"/>
      <c r="G16" s="66" t="n"/>
      <c r="H16" s="53">
        <f>SUM(H17:H20)</f>
        <v/>
      </c>
    </row>
    <row r="17" ht="15" customHeight="1" s="65">
      <c r="A17" s="54" t="inlineStr">
        <is>
          <t>Bloqueio subaracnoideu</t>
        </is>
      </c>
      <c r="B17" s="66" t="n"/>
      <c r="C17" s="24">
        <f>COUNTIFS('Casuística'!$P$3:$P$302,"=Bloqueio Subaracnoideu",'Casuística'!$R$3:$R$302,"=Analgésico")</f>
        <v/>
      </c>
      <c r="D17" s="24">
        <f>COUNTIFS('Casuística'!$P$3:$P$302,"=Bloqueio Subaracnoideu",'Casuística'!$R$3:$R$302,"=Anestésico")</f>
        <v/>
      </c>
      <c r="E17" s="24">
        <f>COUNTIFS('Casuística'!$P$3:$P$302,"=Bloqueio Subaracnoideu",'Casuística'!$S$3:$S$302,"=Sucesso")</f>
        <v/>
      </c>
      <c r="F17" s="24">
        <f>COUNTIFS('Casuística'!$P$3:$P$302,"=Bloqueio Subaracnoideu",'Casuística'!$S$3:$S$302,"=Insucesso")</f>
        <v/>
      </c>
      <c r="G17" s="24">
        <f>COUNTIFS('Casuística'!$P$3:$P$302,"=Bloqueio Subaracnoideu",'Casuística'!$S$3:$S$302,"=Observado")</f>
        <v/>
      </c>
      <c r="H17" s="18">
        <f>COUNTIFS('Casuística'!$P$3:$P$302,"=Bloqueio Subaracnoideu")</f>
        <v/>
      </c>
    </row>
    <row r="18" ht="15" customHeight="1" s="65">
      <c r="A18" s="54" t="inlineStr">
        <is>
          <t>Epidural lombar</t>
        </is>
      </c>
      <c r="B18" s="66" t="n"/>
      <c r="C18" s="24">
        <f>COUNTIFS('Casuística'!$P$3:$P$302,"=Epidural Lombar",'Casuística'!$R$3:$R$302,"=Analgésico")</f>
        <v/>
      </c>
      <c r="D18" s="24">
        <f>COUNTIFS('Casuística'!$P$3:$P$302,"=Epidural Lombar",'Casuística'!$R$3:$R$302,"=Anestésico")</f>
        <v/>
      </c>
      <c r="E18" s="24">
        <f>COUNTIFS('Casuística'!$P$3:$P$302,"=Epidural Lombar",'Casuística'!$S$3:$S$302,"=Sucesso")</f>
        <v/>
      </c>
      <c r="F18" s="24">
        <f>COUNTIFS('Casuística'!$P$3:$P$302,"=Epidural Lombar",'Casuística'!$S$3:$S$302,"=Insucesso")</f>
        <v/>
      </c>
      <c r="G18" s="24">
        <f>COUNTIFS('Casuística'!$P$3:$P$302,"=Epidural Lombar",'Casuística'!$S$3:$S$302,"=Observado")</f>
        <v/>
      </c>
      <c r="H18" s="18">
        <f>COUNTIFS('Casuística'!$P$3:$P$302,"=Epidural Lombar")</f>
        <v/>
      </c>
    </row>
    <row r="19" ht="15" customHeight="1" s="65">
      <c r="A19" s="54" t="inlineStr">
        <is>
          <t>Epidural torácica</t>
        </is>
      </c>
      <c r="B19" s="66" t="n"/>
      <c r="C19" s="24">
        <f>COUNTIFS('Casuística'!$P$3:$P$302,"=Epidural Torácica",'Casuística'!$R$3:$R$302,"=Analgésico")</f>
        <v/>
      </c>
      <c r="D19" s="24">
        <f>COUNTIFS('Casuística'!$P$3:$P$302,"=Epidural Torácica",'Casuística'!$R$3:$R$302,"=Anestésico")</f>
        <v/>
      </c>
      <c r="E19" s="24">
        <f>COUNTIFS('Casuística'!$P$3:$P$302,"=Epidural Torácica",'Casuística'!$S$3:$S$302,"=Sucesso")</f>
        <v/>
      </c>
      <c r="F19" s="24">
        <f>COUNTIFS('Casuística'!$P$3:$P$302,"=Epidural Torácica",'Casuística'!$S$3:$S$302,"=Insucesso")</f>
        <v/>
      </c>
      <c r="G19" s="24">
        <f>COUNTIFS('Casuística'!$P$3:$P$302,"=Epidural Torácica",'Casuística'!$S$3:$S$302,"=Observado")</f>
        <v/>
      </c>
      <c r="H19" s="18">
        <f>COUNTIFS('Casuística'!$P$3:$P$302,"=Epidural Torácica")</f>
        <v/>
      </c>
    </row>
    <row r="20" ht="15" customHeight="1" s="65">
      <c r="A20" s="54" t="inlineStr">
        <is>
          <t>Sequencial</t>
        </is>
      </c>
      <c r="B20" s="66" t="n"/>
      <c r="C20" s="24">
        <f>COUNTIFS('Casuística'!$P$3:$P$302,"=Sequencial",'Casuística'!$R$3:$R$302,"=Analgésico")</f>
        <v/>
      </c>
      <c r="D20" s="24">
        <f>COUNTIFS('Casuística'!$P$3:$P$302,"=Sequencial",'Casuística'!$R$3:$R$302,"=Anestésico")</f>
        <v/>
      </c>
      <c r="E20" s="24">
        <f>COUNTIFS('Casuística'!$P$3:$P$302,"=Sequencial",'Casuística'!$S$3:$S$302,"=Sucesso")</f>
        <v/>
      </c>
      <c r="F20" s="24">
        <f>COUNTIFS('Casuística'!$P$3:$P$302,"=Sequencial",'Casuística'!$S$3:$S$302,"=Insucesso")</f>
        <v/>
      </c>
      <c r="G20" s="24">
        <f>COUNTIFS('Casuística'!$P$3:$P$302,"=Sequencial",'Casuística'!$S$3:$S$302,"=Observado")</f>
        <v/>
      </c>
      <c r="H20" s="18">
        <f>COUNTIFS('Casuística'!$P$3:$P$302,"=Sequencial")</f>
        <v/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mergeCells count="10">
    <mergeCell ref="A20:B20"/>
    <mergeCell ref="A8:A11"/>
    <mergeCell ref="A19:B19"/>
    <mergeCell ref="A12:A15"/>
    <mergeCell ref="A2:G2"/>
    <mergeCell ref="A3:A7"/>
    <mergeCell ref="A16:G16"/>
    <mergeCell ref="A1:B1"/>
    <mergeCell ref="A17:B17"/>
    <mergeCell ref="A18:B18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93C47D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 outlineLevelCol="0"/>
  <cols>
    <col width="32" customWidth="1" style="65" min="1" max="1"/>
    <col width="12" customWidth="1" style="65" min="2" max="2"/>
    <col width="22" customWidth="1" style="65" min="3" max="3"/>
    <col width="10" customWidth="1" style="65" min="4" max="6"/>
    <col width="8" customWidth="1" style="65" min="7" max="7"/>
    <col width="8.710000000000001" customWidth="1" style="65" min="8" max="26"/>
  </cols>
  <sheetData>
    <row r="1">
      <c r="A1" s="4" t="inlineStr">
        <is>
          <t>Acessos vasculares</t>
        </is>
      </c>
      <c r="B1" s="4" t="inlineStr">
        <is>
          <t>ECOGUIADO</t>
        </is>
      </c>
      <c r="C1" s="4" t="inlineStr">
        <is>
          <t>REFERÊNCIAS ANATÓMICAS</t>
        </is>
      </c>
      <c r="D1" s="4" t="inlineStr">
        <is>
          <t>Sucesso</t>
        </is>
      </c>
      <c r="E1" s="4" t="inlineStr">
        <is>
          <t>Insucesso</t>
        </is>
      </c>
      <c r="F1" s="4" t="inlineStr">
        <is>
          <t>Observado</t>
        </is>
      </c>
      <c r="G1" s="4" t="inlineStr">
        <is>
          <t>TOTAL</t>
        </is>
      </c>
    </row>
    <row r="2">
      <c r="A2" s="55" t="inlineStr">
        <is>
          <t>CATETERIZAÇÃO ARTERIAL</t>
        </is>
      </c>
      <c r="B2" s="53">
        <f>SUM(B3:B7)</f>
        <v/>
      </c>
      <c r="C2" s="53">
        <f>SUM(C3:C7)</f>
        <v/>
      </c>
      <c r="D2" s="53">
        <f>SUM(D3:D7)</f>
        <v/>
      </c>
      <c r="E2" s="53">
        <f>SUM(E3:E7)</f>
        <v/>
      </c>
      <c r="F2" s="53">
        <f>SUM(F3:F7)</f>
        <v/>
      </c>
      <c r="G2" s="53">
        <f>SUM(G3:G7)</f>
        <v/>
      </c>
    </row>
    <row r="3">
      <c r="A3" s="54" t="inlineStr">
        <is>
          <t>Radial</t>
        </is>
      </c>
      <c r="B3" s="24">
        <f>COUNTIFS('Casuística'!$AE$3:$AE$302,"=Radial",'Casuística'!$AF$3:$AF$302,"=Ecoguiado")</f>
        <v/>
      </c>
      <c r="C3" s="24">
        <f>COUNTIFS('Casuística'!$AE$3:$AE$302,"=Radial",'Casuística'!$AF$3:$AF$302,"=Referências Anatómicas")</f>
        <v/>
      </c>
      <c r="D3" s="24">
        <f>COUNTIFS('Casuística'!$AE$3:$AE$302,"=Radial",'Casuística'!$AG$3:$AG$302,"=Sucesso")</f>
        <v/>
      </c>
      <c r="E3" s="24">
        <f>COUNTIFS('Casuística'!$AE$3:$AE$302,"=Radial",'Casuística'!$AG$3:$AG$302,"=Insucesso")</f>
        <v/>
      </c>
      <c r="F3" s="24">
        <f>COUNTIFS('Casuística'!$AE$3:$AE$302,"=Radial",'Casuística'!$AG$3:$AG$302,"=Observado")</f>
        <v/>
      </c>
      <c r="G3" s="18">
        <f>COUNTIFS('Casuística'!$AE$3:$AE$302,"=Radial")</f>
        <v/>
      </c>
    </row>
    <row r="4">
      <c r="A4" s="54" t="inlineStr">
        <is>
          <t>Umeral</t>
        </is>
      </c>
      <c r="B4" s="24">
        <f>COUNTIFS('Casuística'!$AE$3:$AE$302,"=Umeral",'Casuística'!$AF$3:$AF$302,"=Ecoguiado")</f>
        <v/>
      </c>
      <c r="C4" s="24">
        <f>COUNTIFS('Casuística'!$AE$3:$AE$302,"=Umeral",'Casuística'!$AF$3:$AF$302,"=Referências Anatómicas")</f>
        <v/>
      </c>
      <c r="D4" s="24">
        <f>COUNTIFS('Casuística'!$AE$3:$AE$302,"=Umeral",'Casuística'!$AG$3:$AG$302,"=Sucesso")</f>
        <v/>
      </c>
      <c r="E4" s="24">
        <f>COUNTIFS('Casuística'!$AE$3:$AE$302,"=Umeral",'Casuística'!$AG$3:$AG$302,"=Insucesso")</f>
        <v/>
      </c>
      <c r="F4" s="24">
        <f>COUNTIFS('Casuística'!$AE$3:$AE$302,"=Umeral",'Casuística'!$AG$3:$AG$302,"=Observado")</f>
        <v/>
      </c>
      <c r="G4" s="18">
        <f>COUNTIFS('Casuística'!$AE$3:$AE$302,"=Umeral")</f>
        <v/>
      </c>
    </row>
    <row r="5">
      <c r="A5" s="54" t="inlineStr">
        <is>
          <t>Femoral</t>
        </is>
      </c>
      <c r="B5" s="24">
        <f>COUNTIFS('Casuística'!$AE$3:$AE$302,"=Femoral",'Casuística'!$AF$3:$AF$302,"=Ecoguiado")</f>
        <v/>
      </c>
      <c r="C5" s="24">
        <f>COUNTIFS('Casuística'!$AE$3:$AE$302,"=Femoral",'Casuística'!$AF$3:$AF$302,"=Referências Anatómicas")</f>
        <v/>
      </c>
      <c r="D5" s="24">
        <f>COUNTIFS('Casuística'!$AE$3:$AE$302,"=Femoral",'Casuística'!$AG$3:$AG$302,"=Sucesso")</f>
        <v/>
      </c>
      <c r="E5" s="24">
        <f>COUNTIFS('Casuística'!$AE$3:$AE$302,"=Femoral",'Casuística'!$AG$3:$AG$302,"=Insucesso")</f>
        <v/>
      </c>
      <c r="F5" s="24">
        <f>COUNTIFS('Casuística'!$AE$3:$AE$302,"=Femoral",'Casuística'!$AG$3:$AG$302,"=Observado")</f>
        <v/>
      </c>
      <c r="G5" s="18">
        <f>COUNTIFS('Casuística'!$AE$3:$AE$302,"=Femoral")</f>
        <v/>
      </c>
    </row>
    <row r="6">
      <c r="A6" s="54" t="inlineStr">
        <is>
          <t>Cubital</t>
        </is>
      </c>
      <c r="B6" s="24">
        <f>COUNTIFS('Casuística'!$AE$3:$AE$302,"=Cubital",'Casuística'!$AF$3:$AF$302,"=Ecoguiado")</f>
        <v/>
      </c>
      <c r="C6" s="24">
        <f>COUNTIFS('Casuística'!$AE$3:$AE$302,"=Cubital",'Casuística'!$AF$3:$AF$302,"=Referências Anatómicas")</f>
        <v/>
      </c>
      <c r="D6" s="24">
        <f>COUNTIFS('Casuística'!$AE$3:$AE$302,"=Cubital",'Casuística'!$AG$3:$AG$302,"=Sucesso")</f>
        <v/>
      </c>
      <c r="E6" s="24">
        <f>COUNTIFS('Casuística'!$AE$3:$AE$302,"=Cubital",'Casuística'!$AG$3:$AG$302,"=Insucesso")</f>
        <v/>
      </c>
      <c r="F6" s="24">
        <f>COUNTIFS('Casuística'!$AE$3:$AE$302,"=Cubital",'Casuística'!$AG$3:$AG$302,"=Observado")</f>
        <v/>
      </c>
      <c r="G6" s="18">
        <f>COUNTIFS('Casuística'!$AE$3:$AE$302,"=Cubital")</f>
        <v/>
      </c>
    </row>
    <row r="7">
      <c r="A7" s="54" t="inlineStr">
        <is>
          <t>Não registado</t>
        </is>
      </c>
      <c r="B7" s="24">
        <f>COUNTIFS('Casuística'!$AE$3:$AE$302,"=Não registado",'Casuística'!$AF$3:$AF$302,"=Ecoguiado")</f>
        <v/>
      </c>
      <c r="C7" s="24">
        <f>COUNTIFS('Casuística'!$AE$3:$AE$302,"=Não registado",'Casuística'!$AF$3:$AF$302,"=Referências Anatómicas")</f>
        <v/>
      </c>
      <c r="D7" s="24">
        <f>COUNTIFS('Casuística'!$AE$3:$AE$302,"=Não registado",'Casuística'!$AG$3:$AG$302,"=Sucesso")</f>
        <v/>
      </c>
      <c r="E7" s="24">
        <f>COUNTIFS('Casuística'!$AE$3:$AE$302,"=Não registado",'Casuística'!$AG$3:$AG$302,"=Insucesso")</f>
        <v/>
      </c>
      <c r="F7" s="24">
        <f>COUNTIFS('Casuística'!$AE$3:$AE$302,"=Não registado",'Casuística'!$AG$3:$AG$302,"=Observado")</f>
        <v/>
      </c>
      <c r="G7" s="18">
        <f>COUNTIFS('Casuística'!$AE$3:$AE$302,"=Não registado")</f>
        <v/>
      </c>
    </row>
    <row r="8">
      <c r="A8" s="55" t="inlineStr">
        <is>
          <t>CATETERIZAÇÃO VENOSA CENTRAL</t>
        </is>
      </c>
      <c r="B8" s="53">
        <f>SUM(B9:B13)</f>
        <v/>
      </c>
      <c r="C8" s="53">
        <f>SUM(C9:C13)</f>
        <v/>
      </c>
      <c r="D8" s="53">
        <f>SUM(D9:D13)</f>
        <v/>
      </c>
      <c r="E8" s="53">
        <f>SUM(E9:E13)</f>
        <v/>
      </c>
      <c r="F8" s="53">
        <f>SUM(F9:F13)</f>
        <v/>
      </c>
      <c r="G8" s="53">
        <f>SUM(G9:G13)</f>
        <v/>
      </c>
    </row>
    <row r="9">
      <c r="A9" s="54" t="inlineStr">
        <is>
          <t>Jugular interna</t>
        </is>
      </c>
      <c r="B9" s="24">
        <f>COUNTIFS('Casuística'!$AH$3:$AH$302,"=Jugular interna",'Casuística'!$AI$3:$AI$302,"=Ecoguiado")</f>
        <v/>
      </c>
      <c r="C9" s="24">
        <f>COUNTIFS('Casuística'!$AH$3:$AH$302,"=Jugular interna",'Casuística'!$AI$3:$AI$302,"=Referências Anatómicas")</f>
        <v/>
      </c>
      <c r="D9" s="24">
        <f>COUNTIFS('Casuística'!$AH$3:$AH$302,"=Jugular interna",'Casuística'!$AJ$3:$AJ$302,"=Sucesso")</f>
        <v/>
      </c>
      <c r="E9" s="24">
        <f>COUNTIFS('Casuística'!$AH$3:$AH$302,"=Jugular interna",'Casuística'!$AJ$3:$AJ$302,"=Insucesso")</f>
        <v/>
      </c>
      <c r="F9" s="24">
        <f>COUNTIFS('Casuística'!$AH$3:$AH$302,"=Jugular interna",'Casuística'!$AJ$3:$AJ$302,"=Observado")</f>
        <v/>
      </c>
      <c r="G9" s="18">
        <f>COUNTIFS('Casuística'!$AH$3:$AH$302,"=Jugular interna")</f>
        <v/>
      </c>
    </row>
    <row r="10">
      <c r="A10" s="54" t="inlineStr">
        <is>
          <t>Subclávia</t>
        </is>
      </c>
      <c r="B10" s="24">
        <f>COUNTIFS('Casuística'!$AH$3:$AH$302,"=Subclávia",'Casuística'!$AI$3:$AI$302,"=Ecoguiado")</f>
        <v/>
      </c>
      <c r="C10" s="24">
        <f>COUNTIFS('Casuística'!$AH$3:$AH$302,"=Subclávia",'Casuística'!$AI$3:$AI$302,"=Referências Anatómicas")</f>
        <v/>
      </c>
      <c r="D10" s="24">
        <f>COUNTIFS('Casuística'!$AH$3:$AH$302,"=Subclávia",'Casuística'!$AJ$3:$AJ$302,"=Sucesso")</f>
        <v/>
      </c>
      <c r="E10" s="24">
        <f>COUNTIFS('Casuística'!$AH$3:$AH$302,"=Subclávia",'Casuística'!$AJ$3:$AJ$302,"=Insucesso")</f>
        <v/>
      </c>
      <c r="F10" s="24">
        <f>COUNTIFS('Casuística'!$AH$3:$AH$302,"=Subclávia",'Casuística'!$AJ$3:$AJ$302,"=Observado")</f>
        <v/>
      </c>
      <c r="G10" s="18">
        <f>COUNTIFS('Casuística'!$AH$3:$AH$302,"=Subclávia")</f>
        <v/>
      </c>
    </row>
    <row r="11">
      <c r="A11" s="54" t="inlineStr">
        <is>
          <t>Femoral</t>
        </is>
      </c>
      <c r="B11" s="24">
        <f>COUNTIFS('Casuística'!$AH$3:$AH$302,"=Femoral",'Casuística'!$AI$3:$AI$302,"=Ecoguiado")</f>
        <v/>
      </c>
      <c r="C11" s="24">
        <f>COUNTIFS('Casuística'!$AH$3:$AH$302,"=Femoral",'Casuística'!$AI$3:$AI$302,"=Referências Anatómicas")</f>
        <v/>
      </c>
      <c r="D11" s="24">
        <f>COUNTIFS('Casuística'!$AH$3:$AH$302,"=Femoral",'Casuística'!$AJ$3:$AJ$302,"=Sucesso")</f>
        <v/>
      </c>
      <c r="E11" s="24">
        <f>COUNTIFS('Casuística'!$AH$3:$AH$302,"=Femoral",'Casuística'!$AJ$3:$AJ$302,"=Insucesso")</f>
        <v/>
      </c>
      <c r="F11" s="24">
        <f>COUNTIFS('Casuística'!$AH$3:$AH$302,"=Femoral",'Casuística'!$AJ$3:$AJ$302,"=Observado")</f>
        <v/>
      </c>
      <c r="G11" s="18">
        <f>COUNTIFS('Casuística'!$AH$3:$AH$302,"=Femoral")</f>
        <v/>
      </c>
    </row>
    <row r="12">
      <c r="A12" s="54" t="inlineStr">
        <is>
          <t>Axilar</t>
        </is>
      </c>
      <c r="B12" s="24">
        <f>COUNTIFS('Casuística'!$AH$3:$AH$302,"=Axilar",'Casuística'!$AI$3:$AI$302,"=Ecoguiado")</f>
        <v/>
      </c>
      <c r="C12" s="24">
        <f>COUNTIFS('Casuística'!$AH$3:$AH$302,"=Axilar",'Casuística'!$AI$3:$AI$302,"=Referências Anatómicas")</f>
        <v/>
      </c>
      <c r="D12" s="24">
        <f>COUNTIFS('Casuística'!$AH$3:$AH$302,"=Axilar",'Casuística'!$AJ$3:$AJ$302,"=Sucesso")</f>
        <v/>
      </c>
      <c r="E12" s="24">
        <f>COUNTIFS('Casuística'!$AH$3:$AH$302,"=Axilar",'Casuística'!$AJ$3:$AJ$302,"=Insucesso")</f>
        <v/>
      </c>
      <c r="F12" s="24">
        <f>COUNTIFS('Casuística'!$AH$3:$AH$302,"=Axilar",'Casuística'!$AJ$3:$AJ$302,"=Observado")</f>
        <v/>
      </c>
      <c r="G12" s="18">
        <f>COUNTIFS('Casuística'!$AH$3:$AH$302,"=Axilar")</f>
        <v/>
      </c>
    </row>
    <row r="13">
      <c r="A13" s="54" t="inlineStr">
        <is>
          <t>Não registado</t>
        </is>
      </c>
      <c r="B13" s="24">
        <f>COUNTIFS('Casuística'!$AH$3:$AH$302,"=Não registado",'Casuística'!$AI$3:$AI$302,"=Ecoguiado")</f>
        <v/>
      </c>
      <c r="C13" s="24">
        <f>COUNTIFS('Casuística'!$AH$3:$AH$302,"=Não registado",'Casuística'!$AI$3:$AI$302,"=Referências Anatómicas")</f>
        <v/>
      </c>
      <c r="D13" s="24">
        <f>COUNTIFS('Casuística'!$AH$3:$AH$302,"=Não registado",'Casuística'!$AJ$3:$AJ$302,"=Sucesso")</f>
        <v/>
      </c>
      <c r="E13" s="24">
        <f>COUNTIFS('Casuística'!$AH$3:$AH$302,"=Não registado",'Casuística'!$AJ$3:$AJ$302,"=Insucesso")</f>
        <v/>
      </c>
      <c r="F13" s="24">
        <f>COUNTIFS('Casuística'!$AH$3:$AH$302,"=Não registado",'Casuística'!$AJ$3:$AJ$302,"=Observado")</f>
        <v/>
      </c>
      <c r="G13" s="18">
        <f>COUNTIFS('Casuística'!$AH$3:$AH$302,"=Não registado")</f>
        <v/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6D9EEB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4.43" defaultRowHeight="15" customHeight="1" outlineLevelCol="0"/>
  <cols>
    <col width="62" customWidth="1" style="65" min="1" max="1"/>
    <col width="9" customWidth="1" style="65" min="2" max="2"/>
    <col width="8.710000000000001" customWidth="1" style="65" min="3" max="26"/>
  </cols>
  <sheetData>
    <row r="1">
      <c r="A1" s="4" t="inlineStr">
        <is>
          <t>MONITORIZAÇÃO ADICIONAL</t>
        </is>
      </c>
      <c r="B1" s="4" t="inlineStr">
        <is>
          <t>TOTAL</t>
        </is>
      </c>
    </row>
    <row r="2">
      <c r="A2" s="54" t="inlineStr">
        <is>
          <t>Monitorização da profundidade anestésica (BIS®)</t>
        </is>
      </c>
      <c r="B2" s="18">
        <f>COUNTIFS('Casuística'!$Y$3:$Y$302,"*BIS*")</f>
        <v/>
      </c>
    </row>
    <row r="3">
      <c r="A3" s="54" t="inlineStr">
        <is>
          <t>Monitorização do bloqueio neuromuscular (TOF)</t>
        </is>
      </c>
      <c r="B3" s="18">
        <f>COUNTIFS('Casuística'!$Y$3:$Y$302,"*TOF*")</f>
        <v/>
      </c>
    </row>
    <row r="4">
      <c r="A4" s="54" t="inlineStr">
        <is>
          <t>Pressão arterial invasiva</t>
        </is>
      </c>
      <c r="B4" s="18">
        <f>COUNTIFS('Casuística'!$Y$3:$Y$302,"*PAI*")</f>
        <v/>
      </c>
    </row>
    <row r="5">
      <c r="A5" s="54" t="inlineStr">
        <is>
          <t>Pressão venosa central</t>
        </is>
      </c>
      <c r="B5" s="18">
        <f>COUNTIFS('Casuística'!$Y$3:$Y$302,"*PVC*")</f>
        <v/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C27BA0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ColWidth="14.43" defaultRowHeight="15" customHeight="1" outlineLevelCol="0"/>
  <cols>
    <col width="11" customWidth="1" style="65" min="1" max="1"/>
    <col width="20" customWidth="1" style="65" min="2" max="2"/>
    <col width="30" customWidth="1" style="65" min="3" max="3"/>
    <col width="40" customWidth="1" style="65" min="4" max="4"/>
    <col width="70" customWidth="1" style="65" min="5" max="5"/>
    <col width="8.710000000000001" customWidth="1" style="65" min="6" max="26"/>
  </cols>
  <sheetData>
    <row r="1">
      <c r="A1" s="4" t="inlineStr">
        <is>
          <t>Data</t>
        </is>
      </c>
      <c r="B1" s="4" t="inlineStr">
        <is>
          <t>Especialidade</t>
        </is>
      </c>
      <c r="C1" s="4" t="inlineStr">
        <is>
          <t>Procedimento</t>
        </is>
      </c>
      <c r="D1" s="4" t="inlineStr">
        <is>
          <t>Complicações</t>
        </is>
      </c>
      <c r="E1" s="4" t="inlineStr">
        <is>
          <t>Descrição do caso</t>
        </is>
      </c>
    </row>
    <row r="2">
      <c r="A2" s="57" t="n"/>
      <c r="B2" s="58" t="n"/>
      <c r="C2" s="58" t="n"/>
      <c r="D2" s="58" t="n"/>
      <c r="E2" s="58" t="n"/>
    </row>
    <row r="3">
      <c r="A3" s="57" t="n"/>
      <c r="B3" s="58" t="n"/>
      <c r="C3" s="58" t="n"/>
      <c r="D3" s="58" t="n"/>
      <c r="E3" s="58" t="n"/>
    </row>
    <row r="4">
      <c r="A4" s="57" t="n"/>
      <c r="B4" s="58" t="n"/>
      <c r="C4" s="58" t="n"/>
      <c r="D4" s="58" t="n"/>
      <c r="E4" s="58" t="n"/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B7B7B7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ColWidth="14.43" defaultRowHeight="15" customHeight="1" outlineLevelCol="0"/>
  <cols>
    <col width="4" customWidth="1" style="65" min="1" max="1"/>
    <col width="125" customWidth="1" style="65" min="2" max="2"/>
    <col width="8.710000000000001" customWidth="1" style="65" min="3" max="26"/>
  </cols>
  <sheetData>
    <row r="2">
      <c r="B2" s="1" t="inlineStr">
        <is>
          <t>Como usar</t>
        </is>
      </c>
    </row>
    <row r="3">
      <c r="B3" s="9" t="inlineStr">
        <is>
          <t>1. Preenche só a folha "Casuística" (uma linha por doente). As outras folhas calculam sozinhas.</t>
        </is>
      </c>
    </row>
    <row r="4">
      <c r="B4" s="9" t="inlineStr">
        <is>
          <t>2. Usa as caixas de escolha; para uma opção nova, acrescenta-a no fim da coluna certa na folha "Listas".</t>
        </is>
      </c>
    </row>
    <row r="5">
      <c r="B5" s="9" t="inlineStr">
        <is>
          <t>3. Especialidade "Fora do Bloco" = Unidade de Técnicas de Gastroenterologia (indica o local em "Local fora do BO"). "Doente Crítico" = atividade fora do BO sem ato anestésico programado.</t>
        </is>
      </c>
    </row>
    <row r="6">
      <c r="B6" s="9" t="inlineStr">
        <is>
          <t>4. "Tabela Atividade" = formato da Tabela 18 do RAA. "Tabela Relatório" = formato da Tabela 19 (sem doente crítico).</t>
        </is>
      </c>
    </row>
    <row r="7">
      <c r="B7" s="9" t="inlineStr">
        <is>
          <t xml:space="preserve">   Cada coluna da Tabela Relatório soma-se à coluna da mesma especialidade na casuística global (Tabela 2); "Fora do Bloco" soma-se a AFBO.</t>
        </is>
      </c>
    </row>
    <row r="8">
      <c r="B8" s="9" t="inlineStr">
        <is>
          <t>5. "Via Aérea", "Anestesia Regional", "Acessos Vasculares" e "Monitorização Adicional" seguem as Tabelas 4 a 7 do RAA.</t>
        </is>
      </c>
    </row>
    <row r="9">
      <c r="B9" s="9" t="inlineStr">
        <is>
          <t>6. Sucesso = Sim (sozinha, com ajuda ou não à primeira); Insucesso = não consegui; Observado = observei. "Com ajuda" fica nas Observações.</t>
        </is>
      </c>
    </row>
    <row r="10">
      <c r="B10" s="9" t="inlineStr">
        <is>
          <t>7. Células a amarelo = dados em falta ou deduzidos na conversão do formulário; passa o rato por cima para ver o comentário.</t>
        </is>
      </c>
    </row>
    <row r="11">
      <c r="B11" s="9" t="n"/>
    </row>
    <row r="12">
      <c r="B12" s="1" t="inlineStr">
        <is>
          <t>Exemplo de linha preenchida</t>
        </is>
      </c>
    </row>
    <row r="13">
      <c r="B13" s="9" t="inlineStr">
        <is>
          <t>Data 06/01/2026 · NP 1234567 · Idade 51 · "&gt; 12 anos a 65 anos" · Masculino · ASA II · Urgência · Neurocirurgia · Diagnóstico "Hematoma subdural" · Procedimento "Trépanos" · "1 a 3 horas"</t>
        </is>
      </c>
    </row>
    <row r="14">
      <c r="B14" s="9" t="inlineStr">
        <is>
          <t>Técnica Geral / Balanceada · Monitorização ASA + BIS · Intubação Orotraqueal · Videolaringoscopia · Videolaringoscópio + Condutor · Difícil (CL 3-4) · Sucesso · Destino UCPA · Caso complexo Não</t>
        </is>
      </c>
    </row>
    <row r="21" ht="15.75" customHeight="1" s="65"/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2026-10-20T23:13:49Z</dcterms:created>
  <dcterms:modified xsi:type="dcterms:W3CDTF">2026-10-20T23:13:50Z</dcterms:modified>
</cp:coreProperties>
</file>